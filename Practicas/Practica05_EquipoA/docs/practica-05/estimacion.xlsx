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LOC" sheetId="2" state="visible" r:id="rId4"/>
    <sheet name="COCOMO" sheetId="3" state="visible" r:id="rId5"/>
    <sheet name="PuntosFuncion" sheetId="4" state="visible" r:id="rId6"/>
    <sheet name="Cos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<sst xmlns="http://schemas.openxmlformats.org/spreadsheetml/2006/main" count="467" uniqueCount="310">
  <si>
    <t xml:space="preserve">Práctica 5 - Supuestos de la estimación (Equipo A)</t>
  </si>
  <si>
    <t xml:space="preserve">Celdas en azul con fondo amarillo = datos de entrada que se pueden cambiar. Todo lo demás se calcula con fórmulas.</t>
  </si>
  <si>
    <t xml:space="preserve">Supuesto</t>
  </si>
  <si>
    <t xml:space="preserve">Valor</t>
  </si>
  <si>
    <t xml:space="preserve">Unidad</t>
  </si>
  <si>
    <t xml:space="preserve">Fuente / justificación</t>
  </si>
  <si>
    <t xml:space="preserve">Salario mensual desarrollador junior (SLP)</t>
  </si>
  <si>
    <t xml:space="preserve">MXN/mes</t>
  </si>
  <si>
    <t xml:space="preserve">Glassdoor México, 'Programador Júnior' en San Luis Potosí, mediana ago-2026. Indeed da $12,221 para 'Programador web jr' en SLP</t>
  </si>
  <si>
    <t xml:space="preserve">Costos indirectos</t>
  </si>
  <si>
    <t xml:space="preserve">%</t>
  </si>
  <si>
    <t xml:space="preserve">Indicado por el cuadernillo (renta, equipo, luz, internet, licencias, prestaciones)</t>
  </si>
  <si>
    <t xml:space="preserve">Horas laborales por mes</t>
  </si>
  <si>
    <t xml:space="preserve">h/mes</t>
  </si>
  <si>
    <t xml:space="preserve">40 h/semana x 4 semanas</t>
  </si>
  <si>
    <t xml:space="preserve">Productividad PHP (PDR)</t>
  </si>
  <si>
    <t xml:space="preserve">h / PF</t>
  </si>
  <si>
    <t xml:space="preserve">ISBSG 2021: mediana de Project Delivery Rate para lenguajes tradicionales (PHP entra aquí)</t>
  </si>
  <si>
    <t xml:space="preserve">COCOMO a (orgánico)</t>
  </si>
  <si>
    <t xml:space="preserve">Cuadernillo, COCOMO básico modo orgánico</t>
  </si>
  <si>
    <t xml:space="preserve">COCOMO b (orgánico)</t>
  </si>
  <si>
    <t xml:space="preserve">Cuadernillo</t>
  </si>
  <si>
    <t xml:space="preserve">COCOMO c (orgánico)</t>
  </si>
  <si>
    <t xml:space="preserve">COCOMO d (orgánico)</t>
  </si>
  <si>
    <t xml:space="preserve">Peso PF - Entrada externa (EI)</t>
  </si>
  <si>
    <t xml:space="preserve">PF</t>
  </si>
  <si>
    <t xml:space="preserve">Complejidad media (cuadernillo)</t>
  </si>
  <si>
    <t xml:space="preserve">Peso PF - Salida externa (EO)</t>
  </si>
  <si>
    <t xml:space="preserve">Complejidad media</t>
  </si>
  <si>
    <t xml:space="preserve">Peso PF - Consulta externa (EQ)</t>
  </si>
  <si>
    <t xml:space="preserve">Peso PF - Archivo lógico interno (ILF)</t>
  </si>
  <si>
    <t xml:space="preserve">Peso PF - Archivo de interfaz externo (EIF)</t>
  </si>
  <si>
    <t xml:space="preserve">Conteo de líneas de código PROPIO (VS Code Counter)</t>
  </si>
  <si>
    <t xml:space="preserve">Se excluyen librerías: Vistas/bower_components, Vistas/dist, tcpdf (excepto tcpdf/pdf propios), PHPMailer, Modelos/PHPExcel, impExcel/Classes, class.upload.php, simplexlsx.class.php, jquery, xlsx.js, paginator.js, tcpdf/pdf/pdf.php (ejemplo de TCPDF).</t>
  </si>
  <si>
    <t xml:space="preserve">Carpeta / grupo</t>
  </si>
  <si>
    <t xml:space="preserve">Archivos</t>
  </si>
  <si>
    <t xml:space="preserve">Código</t>
  </si>
  <si>
    <t xml:space="preserve">Comentarios</t>
  </si>
  <si>
    <t xml:space="preserve">Blancos</t>
  </si>
  <si>
    <t xml:space="preserve">Total líneas</t>
  </si>
  <si>
    <t xml:space="preserve">Controladores</t>
  </si>
  <si>
    <t xml:space="preserve">Modelos (propios)</t>
  </si>
  <si>
    <t xml:space="preserve">Vistas/modulos</t>
  </si>
  <si>
    <t xml:space="preserve">Vistas/plantilla.php</t>
  </si>
  <si>
    <t xml:space="preserve">Vistas/js (propios)</t>
  </si>
  <si>
    <t xml:space="preserve">Ajax</t>
  </si>
  <si>
    <t xml:space="preserve">ImportarExcel (propios)</t>
  </si>
  <si>
    <t xml:space="preserve">expExcel</t>
  </si>
  <si>
    <t xml:space="preserve">impExcel (propio)</t>
  </si>
  <si>
    <t xml:space="preserve">tcpdf/pdf (propios)</t>
  </si>
  <si>
    <t xml:space="preserve">config</t>
  </si>
  <si>
    <t xml:space="preserve">Raiz (index.php, .htaccess)</t>
  </si>
  <si>
    <t xml:space="preserve">TOTAL</t>
  </si>
  <si>
    <t xml:space="preserve">KLOC (solo código, sin comentarios ni blancos)</t>
  </si>
  <si>
    <t xml:space="preserve">Fórmula: =Código total / 1000</t>
  </si>
  <si>
    <t xml:space="preserve">Primer intento (ERROR): contamos todo el repo con librerías</t>
  </si>
  <si>
    <t xml:space="preserve">líneas .php/.js/.css/.html → casi 1 millón, por eso regresamos al inventario de la P2</t>
  </si>
  <si>
    <t xml:space="preserve">COCOMO básico - modo orgánico</t>
  </si>
  <si>
    <t xml:space="preserve">Concepto</t>
  </si>
  <si>
    <t xml:space="preserve">Fórmula usada (texto)</t>
  </si>
  <si>
    <t xml:space="preserve">KLOC</t>
  </si>
  <si>
    <t xml:space="preserve">se toma de la hoja LOC</t>
  </si>
  <si>
    <t xml:space="preserve">Esfuerzo E</t>
  </si>
  <si>
    <t xml:space="preserve">personas-mes</t>
  </si>
  <si>
    <t xml:space="preserve">E = 2.4 × KLOC^1.05</t>
  </si>
  <si>
    <t xml:space="preserve">Tiempo T</t>
  </si>
  <si>
    <t xml:space="preserve">meses</t>
  </si>
  <si>
    <t xml:space="preserve">T = 2.5 × E^0.38</t>
  </si>
  <si>
    <t xml:space="preserve">Personal promedio P</t>
  </si>
  <si>
    <t xml:space="preserve">personas</t>
  </si>
  <si>
    <t xml:space="preserve">P = E / T</t>
  </si>
  <si>
    <t xml:space="preserve">Esfuerzo en horas</t>
  </si>
  <si>
    <t xml:space="preserve">horas</t>
  </si>
  <si>
    <t xml:space="preserve">E × 160 h/mes</t>
  </si>
  <si>
    <t xml:space="preserve">Puntos de función (sin ajustar) - elementos concretos del sistema</t>
  </si>
  <si>
    <t xml:space="preserve">#</t>
  </si>
  <si>
    <t xml:space="preserve">Tipo</t>
  </si>
  <si>
    <t xml:space="preserve">Elemento del sistema</t>
  </si>
  <si>
    <t xml:space="preserve">Evidencia (vista / controlador / tabla)</t>
  </si>
  <si>
    <t xml:space="preserve">HU</t>
  </si>
  <si>
    <t xml:space="preserve">Resumen</t>
  </si>
  <si>
    <t xml:space="preserve">EI</t>
  </si>
  <si>
    <t xml:space="preserve">Crear cuenta</t>
  </si>
  <si>
    <t xml:space="preserve">crearCuenta.php → UsuariosC::CrearCuenta</t>
  </si>
  <si>
    <t xml:space="preserve">HU-01</t>
  </si>
  <si>
    <t xml:space="preserve">Cantidad</t>
  </si>
  <si>
    <t xml:space="preserve">Peso</t>
  </si>
  <si>
    <t xml:space="preserve">Subtotal PF</t>
  </si>
  <si>
    <t xml:space="preserve">Fórmula</t>
  </si>
  <si>
    <t xml:space="preserve">Enviar solicitud de residencia (con PDFs)</t>
  </si>
  <si>
    <t xml:space="preserve">solicitudRecidencia.php → subirKardex.php</t>
  </si>
  <si>
    <t xml:space="preserve">HU-04</t>
  </si>
  <si>
    <t xml:space="preserve">EI - Entradas externas</t>
  </si>
  <si>
    <t xml:space="preserve">cantidad × peso</t>
  </si>
  <si>
    <t xml:space="preserve">Cambiar estado de solicitud (aceptar/rechazar/baja/terminó)</t>
  </si>
  <si>
    <t xml:space="preserve">detallesSolicitud.php → ActualizarSolicitud()</t>
  </si>
  <si>
    <t xml:space="preserve">HU-05</t>
  </si>
  <si>
    <t xml:space="preserve">EO - Salidas externas</t>
  </si>
  <si>
    <t xml:space="preserve">Alta de empresa en catálogo</t>
  </si>
  <si>
    <t xml:space="preserve">catalogo.php → CrearMateriaC()</t>
  </si>
  <si>
    <t xml:space="preserve">HU-06</t>
  </si>
  <si>
    <t xml:space="preserve">EQ - Consultas externas</t>
  </si>
  <si>
    <t xml:space="preserve">Eliminar empresa</t>
  </si>
  <si>
    <t xml:space="preserve">catalogo.php → EliminarMateriaC()</t>
  </si>
  <si>
    <t xml:space="preserve">ILF - Archivos lógicos internos</t>
  </si>
  <si>
    <t xml:space="preserve">Crear horario de empresa</t>
  </si>
  <si>
    <t xml:space="preserve">crear-comisiones.php → CrearComisionC()</t>
  </si>
  <si>
    <t xml:space="preserve">EIF - Archivos de interfaz externos</t>
  </si>
  <si>
    <t xml:space="preserve">Eliminar horario</t>
  </si>
  <si>
    <t xml:space="preserve">crear-comisiones.php → BorrarComisionC()</t>
  </si>
  <si>
    <t xml:space="preserve">TOTAL PF sin ajustar</t>
  </si>
  <si>
    <t xml:space="preserve">Inscribirse a empresa/horario</t>
  </si>
  <si>
    <t xml:space="preserve">inscribir-materia.php → InscribirMateriaC()</t>
  </si>
  <si>
    <t xml:space="preserve">HU-07</t>
  </si>
  <si>
    <t xml:space="preserve">Esfuerzo (horas)</t>
  </si>
  <si>
    <t xml:space="preserve">PF × 8.3 h/PF</t>
  </si>
  <si>
    <t xml:space="preserve">Subir documento del expediente</t>
  </si>
  <si>
    <t xml:space="preserve">verCarpeta.php → subirPDF.php</t>
  </si>
  <si>
    <t xml:space="preserve">HU-09</t>
  </si>
  <si>
    <t xml:space="preserve">Esfuerzo (personas-mes)</t>
  </si>
  <si>
    <t xml:space="preserve">horas / 160</t>
  </si>
  <si>
    <t xml:space="preserve">Eliminar documento</t>
  </si>
  <si>
    <t xml:space="preserve">verCarpeta.php → EliminarDocumento()</t>
  </si>
  <si>
    <t xml:space="preserve">Tiempo con 3 personas (meses)</t>
  </si>
  <si>
    <t xml:space="preserve">supuesto: equipo de 3 como el nuestro</t>
  </si>
  <si>
    <t xml:space="preserve">Subir reporte parcial</t>
  </si>
  <si>
    <t xml:space="preserve">verCarpeta.php → subirReportePDF.php</t>
  </si>
  <si>
    <t xml:space="preserve">HU-10</t>
  </si>
  <si>
    <t xml:space="preserve">Capturar calificación de reporte</t>
  </si>
  <si>
    <t xml:space="preserve">nota-materia.php → ActualizarNotasC()</t>
  </si>
  <si>
    <t xml:space="preserve">HU-11</t>
  </si>
  <si>
    <t xml:space="preserve">Marcar evaluación como revisada</t>
  </si>
  <si>
    <t xml:space="preserve">calificaciones.php → ActualizarNotasC()</t>
  </si>
  <si>
    <t xml:space="preserve">HU-12</t>
  </si>
  <si>
    <t xml:space="preserve">Agendar visita</t>
  </si>
  <si>
    <t xml:space="preserve">visitas.php → CrearVisitaC()</t>
  </si>
  <si>
    <t xml:space="preserve">HU-13</t>
  </si>
  <si>
    <t xml:space="preserve">Confirmar / negar visita</t>
  </si>
  <si>
    <t xml:space="preserve">Editar-Visitas.php → EditarVisitaC()</t>
  </si>
  <si>
    <t xml:space="preserve">Borrar visita</t>
  </si>
  <si>
    <t xml:space="preserve">visitas.php → BorrarVisitasC()</t>
  </si>
  <si>
    <t xml:space="preserve">Enviar observación (chat)</t>
  </si>
  <si>
    <t xml:space="preserve">Obcervaciones.php → EnviarMensajeC()</t>
  </si>
  <si>
    <t xml:space="preserve">HU-14</t>
  </si>
  <si>
    <t xml:space="preserve">Solicitar constancia</t>
  </si>
  <si>
    <t xml:space="preserve">constancia-alumno.php → Solicitar()</t>
  </si>
  <si>
    <t xml:space="preserve">HU-15</t>
  </si>
  <si>
    <t xml:space="preserve">Crear usuario</t>
  </si>
  <si>
    <t xml:space="preserve">usuarios.php → CrearUsuarioC()</t>
  </si>
  <si>
    <t xml:space="preserve">HU-16</t>
  </si>
  <si>
    <t xml:space="preserve">Editar usuario</t>
  </si>
  <si>
    <t xml:space="preserve">Editar-usuario.php → ActualizarUsuariosC()</t>
  </si>
  <si>
    <t xml:space="preserve">Eliminar usuario</t>
  </si>
  <si>
    <t xml:space="preserve">usuarios.php → EliminarUsuariosC()</t>
  </si>
  <si>
    <t xml:space="preserve">Importar usuarios desde Excel</t>
  </si>
  <si>
    <t xml:space="preserve">ImportarExcel/insertarUsuarios.php</t>
  </si>
  <si>
    <t xml:space="preserve">Importar catálogo desde Excel</t>
  </si>
  <si>
    <t xml:space="preserve">ImportarExcel/insertarCatalogo.php</t>
  </si>
  <si>
    <t xml:space="preserve">Crear carrera</t>
  </si>
  <si>
    <t xml:space="preserve">carreras.php → crearCarreraC()</t>
  </si>
  <si>
    <t xml:space="preserve">HU-17</t>
  </si>
  <si>
    <t xml:space="preserve">Editar carrera</t>
  </si>
  <si>
    <t xml:space="preserve">Editar-Carrera.php → ActualizarCarrerasC()</t>
  </si>
  <si>
    <t xml:space="preserve">Borrar carrera</t>
  </si>
  <si>
    <t xml:space="preserve">carreras.php → BorrarCarrerasC()</t>
  </si>
  <si>
    <t xml:space="preserve">Actualizar objetivos de residencia</t>
  </si>
  <si>
    <t xml:space="preserve">info.php → updateObjectivo()</t>
  </si>
  <si>
    <t xml:space="preserve">HU-18</t>
  </si>
  <si>
    <t xml:space="preserve">Agregar proceso</t>
  </si>
  <si>
    <t xml:space="preserve">info.php → CrearProceso()</t>
  </si>
  <si>
    <t xml:space="preserve">Borrar proceso</t>
  </si>
  <si>
    <t xml:space="preserve">info.php → BorrarProceso()</t>
  </si>
  <si>
    <t xml:space="preserve">Subir calendario</t>
  </si>
  <si>
    <t xml:space="preserve">info.php → subirCalendario.php</t>
  </si>
  <si>
    <t xml:space="preserve">Subir catálogo PDF</t>
  </si>
  <si>
    <t xml:space="preserve">info.php → subirCatalogo.php</t>
  </si>
  <si>
    <t xml:space="preserve">Subir documento guía</t>
  </si>
  <si>
    <t xml:space="preserve">info.php → subirDoc.php</t>
  </si>
  <si>
    <t xml:space="preserve">Cambiar periodo / ajustes</t>
  </si>
  <si>
    <t xml:space="preserve">carreras.php → AjustesC::HMC(), CambiarPeriodoC()</t>
  </si>
  <si>
    <t xml:space="preserve">EO</t>
  </si>
  <si>
    <t xml:space="preserve">Carta de presentación PDF</t>
  </si>
  <si>
    <t xml:space="preserve">tcpdf/pdf/CartaPrecentacion.php</t>
  </si>
  <si>
    <t xml:space="preserve">Constancia de liberación PDF</t>
  </si>
  <si>
    <t xml:space="preserve">tcpdf/pdf/Constancia.php → ConstanciaC::Generar()</t>
  </si>
  <si>
    <t xml:space="preserve">Horario / inscritos a empresa PDF</t>
  </si>
  <si>
    <t xml:space="preserve">tcpdf/pdf/Inscriptos-Materias.php</t>
  </si>
  <si>
    <t xml:space="preserve">HU-08</t>
  </si>
  <si>
    <t xml:space="preserve">Inscritos a examen PDF</t>
  </si>
  <si>
    <t xml:space="preserve">tcpdf/pdf/Inscriptos-Examen.php</t>
  </si>
  <si>
    <t xml:space="preserve">HU-20</t>
  </si>
  <si>
    <t xml:space="preserve">Exportar usuarios a PDF</t>
  </si>
  <si>
    <t xml:space="preserve">tcpdf/pdf/expUsuarios.php</t>
  </si>
  <si>
    <t xml:space="preserve">Exportar catálogo a PDF</t>
  </si>
  <si>
    <t xml:space="preserve">tcpdf/pdf/expCatalogo.php</t>
  </si>
  <si>
    <t xml:space="preserve">Exportar usuarios a Excel</t>
  </si>
  <si>
    <t xml:space="preserve">expExcel/UsuariosExcel.php</t>
  </si>
  <si>
    <t xml:space="preserve">Exportar catálogo a Excel</t>
  </si>
  <si>
    <t xml:space="preserve">expExcel/CatalogoExcel.php</t>
  </si>
  <si>
    <t xml:space="preserve">Correo electrónico (PHPMailer)</t>
  </si>
  <si>
    <t xml:space="preserve">Controladores/EnviarCorreo.php</t>
  </si>
  <si>
    <t xml:space="preserve">HU-19</t>
  </si>
  <si>
    <t xml:space="preserve">Contadores del tablero de inicio (datos calculados)</t>
  </si>
  <si>
    <t xml:space="preserve">inicio.php → ContarSolicitud()</t>
  </si>
  <si>
    <t xml:space="preserve">EQ</t>
  </si>
  <si>
    <t xml:space="preserve">Inicio de sesión (validación)</t>
  </si>
  <si>
    <t xml:space="preserve">Ingresar.php → IniciarSesionC()</t>
  </si>
  <si>
    <t xml:space="preserve">HU-02</t>
  </si>
  <si>
    <t xml:space="preserve">Información de residencia (login)</t>
  </si>
  <si>
    <t xml:space="preserve">Ingresar.php → VerInfoC(), VerProcesos()</t>
  </si>
  <si>
    <t xml:space="preserve">HU-03</t>
  </si>
  <si>
    <t xml:space="preserve">Lista de solicitudes</t>
  </si>
  <si>
    <t xml:space="preserve">verSolicitudes.php</t>
  </si>
  <si>
    <t xml:space="preserve">Detalle de solicitud</t>
  </si>
  <si>
    <t xml:space="preserve">detallesSolicitud.php</t>
  </si>
  <si>
    <t xml:space="preserve">Catálogo de empresas</t>
  </si>
  <si>
    <t xml:space="preserve">catalogo.php</t>
  </si>
  <si>
    <t xml:space="preserve">Mi horario</t>
  </si>
  <si>
    <t xml:space="preserve">inscrito.php</t>
  </si>
  <si>
    <t xml:space="preserve">Lista de carpetas</t>
  </si>
  <si>
    <t xml:space="preserve">Carpetas.php</t>
  </si>
  <si>
    <t xml:space="preserve">Carpeta del alumno (docs + reportes)</t>
  </si>
  <si>
    <t xml:space="preserve">verCarpeta.php</t>
  </si>
  <si>
    <t xml:space="preserve">Lista de evaluaciones / calificaciones</t>
  </si>
  <si>
    <t xml:space="preserve">calificaciones.php</t>
  </si>
  <si>
    <t xml:space="preserve">Lista de visitas</t>
  </si>
  <si>
    <t xml:space="preserve">visitas.php</t>
  </si>
  <si>
    <t xml:space="preserve">Ver chat de observaciones</t>
  </si>
  <si>
    <t xml:space="preserve">Obcervaciones.php → VerMensajes()</t>
  </si>
  <si>
    <t xml:space="preserve">Gestor de constancias</t>
  </si>
  <si>
    <t xml:space="preserve">solicitud-Constancia.php</t>
  </si>
  <si>
    <t xml:space="preserve">Mis constancias (alumno)</t>
  </si>
  <si>
    <t xml:space="preserve">constancia-alumno.php</t>
  </si>
  <si>
    <t xml:space="preserve">Lista de usuarios</t>
  </si>
  <si>
    <t xml:space="preserve">usuarios.php</t>
  </si>
  <si>
    <t xml:space="preserve">Detalles de usuario</t>
  </si>
  <si>
    <t xml:space="preserve">detalles-usuario.php</t>
  </si>
  <si>
    <t xml:space="preserve">Lista de carreras</t>
  </si>
  <si>
    <t xml:space="preserve">carreras.php</t>
  </si>
  <si>
    <t xml:space="preserve">Estudiantes por carrera</t>
  </si>
  <si>
    <t xml:space="preserve">estudiantes.php</t>
  </si>
  <si>
    <t xml:space="preserve">Mi perfil</t>
  </si>
  <si>
    <t xml:space="preserve">mis-datos.php</t>
  </si>
  <si>
    <t xml:space="preserve">Verificar matrícula (AJAX)</t>
  </si>
  <si>
    <t xml:space="preserve">Ajax/usuariosA.php</t>
  </si>
  <si>
    <t xml:space="preserve">Plan de estudios / evaluaciones (heredado)</t>
  </si>
  <si>
    <t xml:space="preserve">plan-de-estudios.php, ver-evaluaciones.php</t>
  </si>
  <si>
    <t xml:space="preserve">ILF</t>
  </si>
  <si>
    <t xml:space="preserve">usuarios</t>
  </si>
  <si>
    <t xml:space="preserve">tabla usuarios</t>
  </si>
  <si>
    <t xml:space="preserve">HU-01,02,16</t>
  </si>
  <si>
    <t xml:space="preserve">carrera</t>
  </si>
  <si>
    <t xml:space="preserve">tabla carrera</t>
  </si>
  <si>
    <t xml:space="preserve">Empresas del catálogo</t>
  </si>
  <si>
    <t xml:space="preserve">tabla materias</t>
  </si>
  <si>
    <t xml:space="preserve">Horarios de empresa</t>
  </si>
  <si>
    <t xml:space="preserve">tabla comisiones</t>
  </si>
  <si>
    <t xml:space="preserve">Inscripciones</t>
  </si>
  <si>
    <t xml:space="preserve">tabla inscripciones</t>
  </si>
  <si>
    <t xml:space="preserve">Documentos del expediente</t>
  </si>
  <si>
    <t xml:space="preserve">tabla documentos</t>
  </si>
  <si>
    <t xml:space="preserve">Reportes parciales y calificaciones</t>
  </si>
  <si>
    <t xml:space="preserve">tabla reportes</t>
  </si>
  <si>
    <t xml:space="preserve">HU-10,11,12</t>
  </si>
  <si>
    <t xml:space="preserve">Solicitud de residencia</t>
  </si>
  <si>
    <t xml:space="preserve">solicitudes + datosestudiante + datoscarta + requisitoscarta (1 grupo lógico)</t>
  </si>
  <si>
    <t xml:space="preserve">HU-04,05</t>
  </si>
  <si>
    <t xml:space="preserve">Plantillas de carta</t>
  </si>
  <si>
    <t xml:space="preserve">tabla plantillas</t>
  </si>
  <si>
    <t xml:space="preserve">Información de residencia</t>
  </si>
  <si>
    <t xml:space="preserve">tabla inforesidencia</t>
  </si>
  <si>
    <t xml:space="preserve">HU-03,18</t>
  </si>
  <si>
    <t xml:space="preserve">Procesos</t>
  </si>
  <si>
    <t xml:space="preserve">tabla procesos</t>
  </si>
  <si>
    <t xml:space="preserve">Documentos guía</t>
  </si>
  <si>
    <t xml:space="preserve">tabla documentacion</t>
  </si>
  <si>
    <t xml:space="preserve">Ajustes del sistema</t>
  </si>
  <si>
    <t xml:space="preserve">tabla ajustes</t>
  </si>
  <si>
    <t xml:space="preserve">Visitas</t>
  </si>
  <si>
    <t xml:space="preserve">tabla visitas (no está en el script)</t>
  </si>
  <si>
    <t xml:space="preserve">Constancias</t>
  </si>
  <si>
    <t xml:space="preserve">tabla constancias (no está en el script)</t>
  </si>
  <si>
    <t xml:space="preserve">Observaciones</t>
  </si>
  <si>
    <t xml:space="preserve">tabla observacionesdoc (no está en el script)</t>
  </si>
  <si>
    <t xml:space="preserve">Notas (heredado)</t>
  </si>
  <si>
    <t xml:space="preserve">tabla notas</t>
  </si>
  <si>
    <t xml:space="preserve">Exámenes (heredado)</t>
  </si>
  <si>
    <t xml:space="preserve">tabla examenes</t>
  </si>
  <si>
    <t xml:space="preserve">Inscripción a exámenes (heredado)</t>
  </si>
  <si>
    <t xml:space="preserve">tabla inscribir_examenes</t>
  </si>
  <si>
    <t xml:space="preserve">EIF</t>
  </si>
  <si>
    <t xml:space="preserve">Libro de Excel de importación de usuarios</t>
  </si>
  <si>
    <t xml:space="preserve">importarUser.xls (formato externo que el sistema lee)</t>
  </si>
  <si>
    <t xml:space="preserve">Costo del proyecto (MXN)</t>
  </si>
  <si>
    <t xml:space="preserve">COCOMO</t>
  </si>
  <si>
    <t xml:space="preserve">Puntos de función</t>
  </si>
  <si>
    <t xml:space="preserve">del cálculo de cada método</t>
  </si>
  <si>
    <t xml:space="preserve">Salario mensual junior</t>
  </si>
  <si>
    <t xml:space="preserve">Supuestos!B5</t>
  </si>
  <si>
    <t xml:space="preserve">Costo directo</t>
  </si>
  <si>
    <t xml:space="preserve">esfuerzo × salario</t>
  </si>
  <si>
    <t xml:space="preserve">Costos indirectos (25%)</t>
  </si>
  <si>
    <t xml:space="preserve">costo directo × 25%</t>
  </si>
  <si>
    <t xml:space="preserve">COSTO TOTAL</t>
  </si>
  <si>
    <t xml:space="preserve">directo + indirectos</t>
  </si>
  <si>
    <t xml:space="preserve">Tiempo estimado (meses)</t>
  </si>
  <si>
    <t xml:space="preserve">COCOMO: T;  PF: con 3 personas</t>
  </si>
  <si>
    <t xml:space="preserve">Diferencia entre métodos</t>
  </si>
  <si>
    <t xml:space="preserve">Diferencia %</t>
  </si>
  <si>
    <t xml:space="preserve">Promedio de ambos métodos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</si>
</sst>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%"/>
    <numFmt numFmtId="167" formatCode="#,##0"/>
    <numFmt numFmtId="168" formatCode="0.000"/>
    <numFmt numFmtId="169" formatCode="0.00"/>
    <numFmt numFmtId="170" formatCode="General"/>
    <numFmt numFmtId="171" formatCode="0.0"/>
    <numFmt numFmtId="172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5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2" t="s">
        <v>6</v>
      </c>
      <c r="B5" s="4" t="n">
        <v>13417</v>
      </c>
      <c r="C5" s="2" t="s">
        <v>7</v>
      </c>
      <c r="D5" s="2" t="s">
        <v>8</v>
      </c>
    </row>
    <row r="6" customFormat="false" ht="15" hidden="false" customHeight="false" outlineLevel="0" collapsed="false">
      <c r="A6" s="2" t="s">
        <v>9</v>
      </c>
      <c r="B6" s="5" t="n">
        <v>0.25</v>
      </c>
      <c r="C6" s="2" t="s">
        <v>10</v>
      </c>
      <c r="D6" s="2" t="s">
        <v>11</v>
      </c>
    </row>
    <row r="7" customFormat="false" ht="15" hidden="false" customHeight="false" outlineLevel="0" collapsed="false">
      <c r="A7" s="2" t="s">
        <v>12</v>
      </c>
      <c r="B7" s="6" t="n">
        <v>160</v>
      </c>
      <c r="C7" s="2" t="s">
        <v>13</v>
      </c>
      <c r="D7" s="2" t="s">
        <v>14</v>
      </c>
    </row>
    <row r="8" customFormat="false" ht="15" hidden="false" customHeight="false" outlineLevel="0" collapsed="false">
      <c r="A8" s="2" t="s">
        <v>15</v>
      </c>
      <c r="B8" s="6" t="n">
        <v>8.3</v>
      </c>
      <c r="C8" s="2" t="s">
        <v>16</v>
      </c>
      <c r="D8" s="2" t="s">
        <v>17</v>
      </c>
    </row>
    <row r="9" customFormat="false" ht="15" hidden="false" customHeight="false" outlineLevel="0" collapsed="false">
      <c r="A9" s="2" t="s">
        <v>18</v>
      </c>
      <c r="B9" s="6" t="n">
        <v>2.4</v>
      </c>
      <c r="C9" s="2"/>
      <c r="D9" s="2" t="s">
        <v>19</v>
      </c>
    </row>
    <row r="10" customFormat="false" ht="15" hidden="false" customHeight="false" outlineLevel="0" collapsed="false">
      <c r="A10" s="2" t="s">
        <v>20</v>
      </c>
      <c r="B10" s="6" t="n">
        <v>1.05</v>
      </c>
      <c r="C10" s="2"/>
      <c r="D10" s="2" t="s">
        <v>21</v>
      </c>
    </row>
    <row r="11" customFormat="false" ht="15" hidden="false" customHeight="false" outlineLevel="0" collapsed="false">
      <c r="A11" s="2" t="s">
        <v>22</v>
      </c>
      <c r="B11" s="6" t="n">
        <v>2.5</v>
      </c>
      <c r="C11" s="2"/>
      <c r="D11" s="2" t="s">
        <v>21</v>
      </c>
    </row>
    <row r="12" customFormat="false" ht="15" hidden="false" customHeight="false" outlineLevel="0" collapsed="false">
      <c r="A12" s="2" t="s">
        <v>23</v>
      </c>
      <c r="B12" s="6" t="n">
        <v>0.38</v>
      </c>
      <c r="C12" s="2"/>
      <c r="D12" s="2" t="s">
        <v>21</v>
      </c>
    </row>
    <row r="13" customFormat="false" ht="15" hidden="false" customHeight="false" outlineLevel="0" collapsed="false">
      <c r="A13" s="2" t="s">
        <v>24</v>
      </c>
      <c r="B13" s="6" t="n">
        <v>4</v>
      </c>
      <c r="C13" s="2" t="s">
        <v>25</v>
      </c>
      <c r="D13" s="2" t="s">
        <v>26</v>
      </c>
    </row>
    <row r="14" customFormat="false" ht="15" hidden="false" customHeight="false" outlineLevel="0" collapsed="false">
      <c r="A14" s="2" t="s">
        <v>27</v>
      </c>
      <c r="B14" s="6" t="n">
        <v>5</v>
      </c>
      <c r="C14" s="2" t="s">
        <v>25</v>
      </c>
      <c r="D14" s="2" t="s">
        <v>28</v>
      </c>
    </row>
    <row r="15" customFormat="false" ht="15" hidden="false" customHeight="false" outlineLevel="0" collapsed="false">
      <c r="A15" s="2" t="s">
        <v>29</v>
      </c>
      <c r="B15" s="6" t="n">
        <v>4</v>
      </c>
      <c r="C15" s="2" t="s">
        <v>25</v>
      </c>
      <c r="D15" s="2" t="s">
        <v>28</v>
      </c>
    </row>
    <row r="16" customFormat="false" ht="15" hidden="false" customHeight="false" outlineLevel="0" collapsed="false">
      <c r="A16" s="2" t="s">
        <v>30</v>
      </c>
      <c r="B16" s="6" t="n">
        <v>10</v>
      </c>
      <c r="C16" s="2" t="s">
        <v>25</v>
      </c>
      <c r="D16" s="2" t="s">
        <v>28</v>
      </c>
    </row>
    <row r="17" customFormat="false" ht="15" hidden="false" customHeight="false" outlineLevel="0" collapsed="false">
      <c r="A17" s="2" t="s">
        <v>31</v>
      </c>
      <c r="B17" s="6" t="n">
        <v>7</v>
      </c>
      <c r="C17" s="2" t="s">
        <v>25</v>
      </c>
      <c r="D17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16.15" hidden="false" customHeight="false" outlineLevel="0" collapsed="false">
      <c r="A1" s="1" t="s">
        <v>32</v>
      </c>
      <c r="B1" s="2"/>
      <c r="C1" s="2"/>
      <c r="D1" s="2"/>
      <c r="E1" s="2"/>
      <c r="F1" s="2"/>
    </row>
    <row r="2" customFormat="false" ht="45" hidden="false" customHeight="true" outlineLevel="0" collapsed="false">
      <c r="A2" s="7" t="s">
        <v>33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6.8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</row>
    <row r="5" customFormat="false" ht="15" hidden="false" customHeight="false" outlineLevel="0" collapsed="false">
      <c r="A5" s="2" t="s">
        <v>40</v>
      </c>
      <c r="B5" s="8" t="n">
        <v>19</v>
      </c>
      <c r="C5" s="8" t="n">
        <v>1105</v>
      </c>
      <c r="D5" s="8" t="n">
        <v>69</v>
      </c>
      <c r="E5" s="8" t="n">
        <v>388</v>
      </c>
      <c r="F5" s="9" t="n">
        <f aca="false">SUM(C5:E5)</f>
        <v>1562</v>
      </c>
    </row>
    <row r="6" customFormat="false" ht="15" hidden="false" customHeight="false" outlineLevel="0" collapsed="false">
      <c r="A6" s="2" t="s">
        <v>41</v>
      </c>
      <c r="B6" s="8" t="n">
        <v>13</v>
      </c>
      <c r="C6" s="8" t="n">
        <v>986</v>
      </c>
      <c r="D6" s="8" t="n">
        <v>105</v>
      </c>
      <c r="E6" s="8" t="n">
        <v>389</v>
      </c>
      <c r="F6" s="9" t="n">
        <f aca="false">SUM(C6:E6)</f>
        <v>1480</v>
      </c>
    </row>
    <row r="7" customFormat="false" ht="15" hidden="false" customHeight="false" outlineLevel="0" collapsed="false">
      <c r="A7" s="2" t="s">
        <v>42</v>
      </c>
      <c r="B7" s="8" t="n">
        <v>49</v>
      </c>
      <c r="C7" s="8" t="n">
        <v>5378</v>
      </c>
      <c r="D7" s="8" t="n">
        <v>180</v>
      </c>
      <c r="E7" s="8" t="n">
        <v>1640</v>
      </c>
      <c r="F7" s="9" t="n">
        <f aca="false">SUM(C7:E7)</f>
        <v>7198</v>
      </c>
    </row>
    <row r="8" customFormat="false" ht="15" hidden="false" customHeight="false" outlineLevel="0" collapsed="false">
      <c r="A8" s="2" t="s">
        <v>43</v>
      </c>
      <c r="B8" s="8" t="n">
        <v>1</v>
      </c>
      <c r="C8" s="8" t="n">
        <v>106</v>
      </c>
      <c r="D8" s="8" t="n">
        <v>38</v>
      </c>
      <c r="E8" s="8" t="n">
        <v>39</v>
      </c>
      <c r="F8" s="9" t="n">
        <f aca="false">SUM(C8:E8)</f>
        <v>183</v>
      </c>
    </row>
    <row r="9" customFormat="false" ht="15" hidden="false" customHeight="false" outlineLevel="0" collapsed="false">
      <c r="A9" s="2" t="s">
        <v>44</v>
      </c>
      <c r="B9" s="8" t="n">
        <v>3</v>
      </c>
      <c r="C9" s="8" t="n">
        <v>126</v>
      </c>
      <c r="D9" s="8" t="n">
        <v>2</v>
      </c>
      <c r="E9" s="8" t="n">
        <v>41</v>
      </c>
      <c r="F9" s="9" t="n">
        <f aca="false">SUM(C9:E9)</f>
        <v>169</v>
      </c>
    </row>
    <row r="10" customFormat="false" ht="15" hidden="false" customHeight="false" outlineLevel="0" collapsed="false">
      <c r="A10" s="2" t="s">
        <v>45</v>
      </c>
      <c r="B10" s="8" t="n">
        <v>1</v>
      </c>
      <c r="C10" s="8" t="n">
        <v>41</v>
      </c>
      <c r="D10" s="8" t="n">
        <v>0</v>
      </c>
      <c r="E10" s="8" t="n">
        <v>13</v>
      </c>
      <c r="F10" s="9" t="n">
        <f aca="false">SUM(C10:E10)</f>
        <v>54</v>
      </c>
    </row>
    <row r="11" customFormat="false" ht="15" hidden="false" customHeight="false" outlineLevel="0" collapsed="false">
      <c r="A11" s="2" t="s">
        <v>46</v>
      </c>
      <c r="B11" s="8" t="n">
        <v>4</v>
      </c>
      <c r="C11" s="8" t="n">
        <v>314</v>
      </c>
      <c r="D11" s="8" t="n">
        <v>40</v>
      </c>
      <c r="E11" s="8" t="n">
        <v>40</v>
      </c>
      <c r="F11" s="9" t="n">
        <f aca="false">SUM(C11:E11)</f>
        <v>394</v>
      </c>
    </row>
    <row r="12" customFormat="false" ht="15" hidden="false" customHeight="false" outlineLevel="0" collapsed="false">
      <c r="A12" s="2" t="s">
        <v>47</v>
      </c>
      <c r="B12" s="8" t="n">
        <v>2</v>
      </c>
      <c r="C12" s="8" t="n">
        <v>108</v>
      </c>
      <c r="D12" s="8" t="n">
        <v>2</v>
      </c>
      <c r="E12" s="8" t="n">
        <v>16</v>
      </c>
      <c r="F12" s="9" t="n">
        <f aca="false">SUM(C12:E12)</f>
        <v>126</v>
      </c>
    </row>
    <row r="13" customFormat="false" ht="15" hidden="false" customHeight="false" outlineLevel="0" collapsed="false">
      <c r="A13" s="2" t="s">
        <v>48</v>
      </c>
      <c r="B13" s="8" t="n">
        <v>1</v>
      </c>
      <c r="C13" s="8" t="n">
        <v>19</v>
      </c>
      <c r="D13" s="8" t="n">
        <v>6</v>
      </c>
      <c r="E13" s="8" t="n">
        <v>3</v>
      </c>
      <c r="F13" s="9" t="n">
        <f aca="false">SUM(C13:E13)</f>
        <v>28</v>
      </c>
    </row>
    <row r="14" customFormat="false" ht="15" hidden="false" customHeight="false" outlineLevel="0" collapsed="false">
      <c r="A14" s="2" t="s">
        <v>49</v>
      </c>
      <c r="B14" s="8" t="n">
        <v>6</v>
      </c>
      <c r="C14" s="8" t="n">
        <v>360</v>
      </c>
      <c r="D14" s="8" t="n">
        <v>0</v>
      </c>
      <c r="E14" s="8" t="n">
        <v>246</v>
      </c>
      <c r="F14" s="9" t="n">
        <f aca="false">SUM(C14:E14)</f>
        <v>606</v>
      </c>
    </row>
    <row r="15" customFormat="false" ht="15" hidden="false" customHeight="false" outlineLevel="0" collapsed="false">
      <c r="A15" s="2" t="s">
        <v>50</v>
      </c>
      <c r="B15" s="8" t="n">
        <v>2</v>
      </c>
      <c r="C15" s="8" t="n">
        <v>79</v>
      </c>
      <c r="D15" s="8" t="n">
        <v>28</v>
      </c>
      <c r="E15" s="8" t="n">
        <v>16</v>
      </c>
      <c r="F15" s="9" t="n">
        <f aca="false">SUM(C15:E15)</f>
        <v>123</v>
      </c>
    </row>
    <row r="16" customFormat="false" ht="15" hidden="false" customHeight="false" outlineLevel="0" collapsed="false">
      <c r="A16" s="2" t="s">
        <v>51</v>
      </c>
      <c r="B16" s="8" t="n">
        <v>2</v>
      </c>
      <c r="C16" s="8" t="n">
        <v>36</v>
      </c>
      <c r="D16" s="8" t="n">
        <v>2</v>
      </c>
      <c r="E16" s="8" t="n">
        <v>18</v>
      </c>
      <c r="F16" s="9" t="n">
        <f aca="false">SUM(C16:E16)</f>
        <v>56</v>
      </c>
    </row>
    <row r="17" customFormat="false" ht="15" hidden="false" customHeight="false" outlineLevel="0" collapsed="false">
      <c r="A17" s="10" t="s">
        <v>52</v>
      </c>
      <c r="B17" s="11" t="n">
        <f aca="false">SUM(B5:B16)</f>
        <v>103</v>
      </c>
      <c r="C17" s="11" t="n">
        <f aca="false">SUM(C5:C16)</f>
        <v>8658</v>
      </c>
      <c r="D17" s="11" t="n">
        <f aca="false">SUM(D5:D16)</f>
        <v>472</v>
      </c>
      <c r="E17" s="11" t="n">
        <f aca="false">SUM(E5:E16)</f>
        <v>2849</v>
      </c>
      <c r="F17" s="11" t="n">
        <f aca="false">SUM(F5:F16)</f>
        <v>11979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10" t="s">
        <v>53</v>
      </c>
      <c r="B19" s="12" t="n">
        <f aca="false">C17/1000</f>
        <v>8.658</v>
      </c>
      <c r="C19" s="2" t="s">
        <v>54</v>
      </c>
      <c r="D19" s="2"/>
      <c r="E19" s="2"/>
      <c r="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 t="s">
        <v>55</v>
      </c>
      <c r="B21" s="8" t="n">
        <v>920166</v>
      </c>
      <c r="C21" s="2" t="s">
        <v>56</v>
      </c>
      <c r="D21" s="2"/>
      <c r="E21" s="2"/>
      <c r="F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57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58</v>
      </c>
      <c r="B3" s="3" t="s">
        <v>3</v>
      </c>
      <c r="C3" s="3" t="s">
        <v>4</v>
      </c>
      <c r="D3" s="3" t="s">
        <v>59</v>
      </c>
    </row>
    <row r="4" customFormat="false" ht="15" hidden="false" customHeight="false" outlineLevel="0" collapsed="false">
      <c r="A4" s="2" t="s">
        <v>60</v>
      </c>
      <c r="B4" s="13" t="n">
        <f aca="false">LOC!$B$19</f>
        <v>8.658</v>
      </c>
      <c r="C4" s="2" t="s">
        <v>60</v>
      </c>
      <c r="D4" s="2" t="s">
        <v>61</v>
      </c>
    </row>
    <row r="5" customFormat="false" ht="15" hidden="false" customHeight="false" outlineLevel="0" collapsed="false">
      <c r="A5" s="2" t="s">
        <v>62</v>
      </c>
      <c r="B5" s="13" t="n">
        <f aca="false">Supuestos!$B$9*B4^Supuestos!$B$10</f>
        <v>23.1472659911754</v>
      </c>
      <c r="C5" s="2" t="s">
        <v>63</v>
      </c>
      <c r="D5" s="2" t="s">
        <v>64</v>
      </c>
    </row>
    <row r="6" customFormat="false" ht="15" hidden="false" customHeight="false" outlineLevel="0" collapsed="false">
      <c r="A6" s="2" t="s">
        <v>65</v>
      </c>
      <c r="B6" s="13" t="n">
        <f aca="false">Supuestos!$B$11*B5^Supuestos!$B$12</f>
        <v>8.24992300790204</v>
      </c>
      <c r="C6" s="2" t="s">
        <v>66</v>
      </c>
      <c r="D6" s="2" t="s">
        <v>67</v>
      </c>
    </row>
    <row r="7" customFormat="false" ht="15" hidden="false" customHeight="false" outlineLevel="0" collapsed="false">
      <c r="A7" s="2" t="s">
        <v>68</v>
      </c>
      <c r="B7" s="13" t="n">
        <f aca="false">B5/B6</f>
        <v>2.80575539541451</v>
      </c>
      <c r="C7" s="2" t="s">
        <v>69</v>
      </c>
      <c r="D7" s="2" t="s">
        <v>70</v>
      </c>
    </row>
    <row r="8" customFormat="false" ht="15" hidden="false" customHeight="false" outlineLevel="0" collapsed="false">
      <c r="A8" s="2" t="s">
        <v>71</v>
      </c>
      <c r="B8" s="9" t="n">
        <f aca="false">B5*Supuestos!$B$7</f>
        <v>3703.56255858807</v>
      </c>
      <c r="C8" s="2" t="s">
        <v>72</v>
      </c>
      <c r="D8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48"/>
    <col collapsed="false" customWidth="true" hidden="false" outlineLevel="0" max="4" min="4" style="0" width="62"/>
    <col collapsed="false" customWidth="true" hidden="false" outlineLevel="0" max="5" min="5" style="0" width="11"/>
    <col collapsed="false" customWidth="true" hidden="false" outlineLevel="0" max="7" min="6" style="0" width="2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16.1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2"/>
      <c r="G3" s="2"/>
      <c r="H3" s="10" t="s">
        <v>80</v>
      </c>
      <c r="I3" s="2"/>
      <c r="J3" s="2"/>
      <c r="K3" s="2"/>
      <c r="L3" s="2"/>
    </row>
    <row r="4" customFormat="false" ht="15" hidden="false" customHeight="false" outlineLevel="0" collapsed="false">
      <c r="A4" s="2" t="n">
        <v>1</v>
      </c>
      <c r="B4" s="2" t="s">
        <v>81</v>
      </c>
      <c r="C4" s="2" t="s">
        <v>82</v>
      </c>
      <c r="D4" s="2" t="s">
        <v>83</v>
      </c>
      <c r="E4" s="2" t="s">
        <v>84</v>
      </c>
      <c r="F4" s="2"/>
      <c r="G4" s="2"/>
      <c r="H4" s="14" t="s">
        <v>76</v>
      </c>
      <c r="I4" s="14" t="s">
        <v>85</v>
      </c>
      <c r="J4" s="14" t="s">
        <v>86</v>
      </c>
      <c r="K4" s="14" t="s">
        <v>87</v>
      </c>
      <c r="L4" s="14" t="s">
        <v>88</v>
      </c>
    </row>
    <row r="5" customFormat="false" ht="15" hidden="false" customHeight="false" outlineLevel="0" collapsed="false">
      <c r="A5" s="2" t="n">
        <v>2</v>
      </c>
      <c r="B5" s="2" t="s">
        <v>81</v>
      </c>
      <c r="C5" s="2" t="s">
        <v>89</v>
      </c>
      <c r="D5" s="2" t="s">
        <v>90</v>
      </c>
      <c r="E5" s="2" t="s">
        <v>91</v>
      </c>
      <c r="F5" s="2"/>
      <c r="G5" s="2"/>
      <c r="H5" s="2" t="s">
        <v>92</v>
      </c>
      <c r="I5" s="2" t="n">
        <f aca="false">COUNTIF($B$4:$B$86,"EI")</f>
        <v>33</v>
      </c>
      <c r="J5" s="2" t="n">
        <f aca="false">Supuestos!$B$13</f>
        <v>4</v>
      </c>
      <c r="K5" s="2" t="n">
        <f aca="false">I5*J5</f>
        <v>132</v>
      </c>
      <c r="L5" s="2" t="s">
        <v>93</v>
      </c>
    </row>
    <row r="6" customFormat="false" ht="15" hidden="false" customHeight="false" outlineLevel="0" collapsed="false">
      <c r="A6" s="2" t="n">
        <v>3</v>
      </c>
      <c r="B6" s="2" t="s">
        <v>81</v>
      </c>
      <c r="C6" s="2" t="s">
        <v>94</v>
      </c>
      <c r="D6" s="2" t="s">
        <v>95</v>
      </c>
      <c r="E6" s="2" t="s">
        <v>96</v>
      </c>
      <c r="F6" s="2"/>
      <c r="G6" s="2"/>
      <c r="H6" s="2" t="s">
        <v>97</v>
      </c>
      <c r="I6" s="2" t="n">
        <f aca="false">COUNTIF($B$4:$B$86,"EO")</f>
        <v>10</v>
      </c>
      <c r="J6" s="2" t="n">
        <f aca="false">Supuestos!$B$14</f>
        <v>5</v>
      </c>
      <c r="K6" s="2" t="n">
        <f aca="false">I6*J6</f>
        <v>50</v>
      </c>
      <c r="L6" s="2" t="s">
        <v>93</v>
      </c>
    </row>
    <row r="7" customFormat="false" ht="15" hidden="false" customHeight="false" outlineLevel="0" collapsed="false">
      <c r="A7" s="2" t="n">
        <v>4</v>
      </c>
      <c r="B7" s="2" t="s">
        <v>81</v>
      </c>
      <c r="C7" s="2" t="s">
        <v>98</v>
      </c>
      <c r="D7" s="2" t="s">
        <v>99</v>
      </c>
      <c r="E7" s="2" t="s">
        <v>100</v>
      </c>
      <c r="F7" s="2"/>
      <c r="G7" s="2"/>
      <c r="H7" s="2" t="s">
        <v>101</v>
      </c>
      <c r="I7" s="2" t="n">
        <f aca="false">COUNTIF($B$4:$B$86,"EQ")</f>
        <v>20</v>
      </c>
      <c r="J7" s="2" t="n">
        <f aca="false">Supuestos!$B$15</f>
        <v>4</v>
      </c>
      <c r="K7" s="2" t="n">
        <f aca="false">I7*J7</f>
        <v>80</v>
      </c>
      <c r="L7" s="2" t="s">
        <v>93</v>
      </c>
    </row>
    <row r="8" customFormat="false" ht="15" hidden="false" customHeight="false" outlineLevel="0" collapsed="false">
      <c r="A8" s="2" t="n">
        <v>5</v>
      </c>
      <c r="B8" s="2" t="s">
        <v>81</v>
      </c>
      <c r="C8" s="2" t="s">
        <v>102</v>
      </c>
      <c r="D8" s="2" t="s">
        <v>103</v>
      </c>
      <c r="E8" s="2" t="s">
        <v>100</v>
      </c>
      <c r="F8" s="2"/>
      <c r="G8" s="2"/>
      <c r="H8" s="2" t="s">
        <v>104</v>
      </c>
      <c r="I8" s="2" t="n">
        <f aca="false">COUNTIF($B$4:$B$86,"ILF")</f>
        <v>19</v>
      </c>
      <c r="J8" s="2" t="n">
        <f aca="false">Supuestos!$B$16</f>
        <v>10</v>
      </c>
      <c r="K8" s="2" t="n">
        <f aca="false">I8*J8</f>
        <v>190</v>
      </c>
      <c r="L8" s="2" t="s">
        <v>93</v>
      </c>
    </row>
    <row r="9" customFormat="false" ht="15" hidden="false" customHeight="false" outlineLevel="0" collapsed="false">
      <c r="A9" s="2" t="n">
        <v>6</v>
      </c>
      <c r="B9" s="2" t="s">
        <v>81</v>
      </c>
      <c r="C9" s="2" t="s">
        <v>105</v>
      </c>
      <c r="D9" s="2" t="s">
        <v>106</v>
      </c>
      <c r="E9" s="2" t="s">
        <v>100</v>
      </c>
      <c r="F9" s="2"/>
      <c r="G9" s="2"/>
      <c r="H9" s="2" t="s">
        <v>107</v>
      </c>
      <c r="I9" s="2" t="n">
        <f aca="false">COUNTIF($B$4:$B$86,"EIF")</f>
        <v>1</v>
      </c>
      <c r="J9" s="2" t="n">
        <f aca="false">Supuestos!$B$17</f>
        <v>7</v>
      </c>
      <c r="K9" s="2" t="n">
        <f aca="false">I9*J9</f>
        <v>7</v>
      </c>
      <c r="L9" s="2" t="s">
        <v>93</v>
      </c>
    </row>
    <row r="10" customFormat="false" ht="15" hidden="false" customHeight="false" outlineLevel="0" collapsed="false">
      <c r="A10" s="2" t="n">
        <v>7</v>
      </c>
      <c r="B10" s="2" t="s">
        <v>81</v>
      </c>
      <c r="C10" s="2" t="s">
        <v>108</v>
      </c>
      <c r="D10" s="2" t="s">
        <v>109</v>
      </c>
      <c r="E10" s="2" t="s">
        <v>100</v>
      </c>
      <c r="F10" s="2"/>
      <c r="G10" s="2"/>
      <c r="H10" s="10" t="s">
        <v>110</v>
      </c>
      <c r="I10" s="2"/>
      <c r="J10" s="2"/>
      <c r="K10" s="15" t="n">
        <f aca="false">SUM(K5:K9)</f>
        <v>459</v>
      </c>
      <c r="L10" s="2"/>
    </row>
    <row r="11" customFormat="false" ht="15" hidden="false" customHeight="false" outlineLevel="0" collapsed="false">
      <c r="A11" s="2" t="n">
        <v>8</v>
      </c>
      <c r="B11" s="2" t="s">
        <v>81</v>
      </c>
      <c r="C11" s="2" t="s">
        <v>111</v>
      </c>
      <c r="D11" s="2" t="s">
        <v>112</v>
      </c>
      <c r="E11" s="2" t="s">
        <v>113</v>
      </c>
      <c r="F11" s="2"/>
      <c r="G11" s="2"/>
      <c r="H11" s="2" t="s">
        <v>114</v>
      </c>
      <c r="I11" s="2"/>
      <c r="J11" s="2"/>
      <c r="K11" s="9" t="n">
        <f aca="false">K10*Supuestos!$B$8</f>
        <v>3809.7</v>
      </c>
      <c r="L11" s="2" t="s">
        <v>115</v>
      </c>
    </row>
    <row r="12" customFormat="false" ht="15" hidden="false" customHeight="false" outlineLevel="0" collapsed="false">
      <c r="A12" s="2" t="n">
        <v>9</v>
      </c>
      <c r="B12" s="2" t="s">
        <v>81</v>
      </c>
      <c r="C12" s="2" t="s">
        <v>116</v>
      </c>
      <c r="D12" s="2" t="s">
        <v>117</v>
      </c>
      <c r="E12" s="2" t="s">
        <v>118</v>
      </c>
      <c r="F12" s="2"/>
      <c r="G12" s="2"/>
      <c r="H12" s="2" t="s">
        <v>119</v>
      </c>
      <c r="I12" s="2"/>
      <c r="J12" s="2"/>
      <c r="K12" s="13" t="n">
        <f aca="false">K11/Supuestos!$B$7</f>
        <v>23.810625</v>
      </c>
      <c r="L12" s="2" t="s">
        <v>120</v>
      </c>
    </row>
    <row r="13" customFormat="false" ht="15" hidden="false" customHeight="false" outlineLevel="0" collapsed="false">
      <c r="A13" s="2" t="n">
        <v>10</v>
      </c>
      <c r="B13" s="2" t="s">
        <v>81</v>
      </c>
      <c r="C13" s="2" t="s">
        <v>121</v>
      </c>
      <c r="D13" s="2" t="s">
        <v>122</v>
      </c>
      <c r="E13" s="2" t="s">
        <v>118</v>
      </c>
      <c r="F13" s="2"/>
      <c r="G13" s="2"/>
      <c r="H13" s="2" t="s">
        <v>123</v>
      </c>
      <c r="I13" s="2"/>
      <c r="J13" s="2"/>
      <c r="K13" s="16" t="n">
        <f aca="false">K12/3</f>
        <v>7.936875</v>
      </c>
      <c r="L13" s="2" t="s">
        <v>124</v>
      </c>
    </row>
    <row r="14" customFormat="false" ht="15" hidden="false" customHeight="false" outlineLevel="0" collapsed="false">
      <c r="A14" s="2" t="n">
        <v>11</v>
      </c>
      <c r="B14" s="2" t="s">
        <v>81</v>
      </c>
      <c r="C14" s="2" t="s">
        <v>125</v>
      </c>
      <c r="D14" s="2" t="s">
        <v>126</v>
      </c>
      <c r="E14" s="2" t="s">
        <v>127</v>
      </c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 t="n">
        <v>12</v>
      </c>
      <c r="B15" s="2" t="s">
        <v>81</v>
      </c>
      <c r="C15" s="2" t="s">
        <v>128</v>
      </c>
      <c r="D15" s="2" t="s">
        <v>129</v>
      </c>
      <c r="E15" s="2" t="s">
        <v>130</v>
      </c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 t="n">
        <v>13</v>
      </c>
      <c r="B16" s="2" t="s">
        <v>81</v>
      </c>
      <c r="C16" s="2" t="s">
        <v>131</v>
      </c>
      <c r="D16" s="2" t="s">
        <v>132</v>
      </c>
      <c r="E16" s="2" t="s">
        <v>133</v>
      </c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 t="n">
        <v>14</v>
      </c>
      <c r="B17" s="2" t="s">
        <v>81</v>
      </c>
      <c r="C17" s="2" t="s">
        <v>134</v>
      </c>
      <c r="D17" s="2" t="s">
        <v>135</v>
      </c>
      <c r="E17" s="2" t="s">
        <v>136</v>
      </c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 t="n">
        <v>15</v>
      </c>
      <c r="B18" s="2" t="s">
        <v>81</v>
      </c>
      <c r="C18" s="2" t="s">
        <v>137</v>
      </c>
      <c r="D18" s="2" t="s">
        <v>138</v>
      </c>
      <c r="E18" s="2" t="s">
        <v>136</v>
      </c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 t="n">
        <v>16</v>
      </c>
      <c r="B19" s="2" t="s">
        <v>81</v>
      </c>
      <c r="C19" s="2" t="s">
        <v>139</v>
      </c>
      <c r="D19" s="2" t="s">
        <v>140</v>
      </c>
      <c r="E19" s="2" t="s">
        <v>136</v>
      </c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 t="n">
        <v>17</v>
      </c>
      <c r="B20" s="2" t="s">
        <v>81</v>
      </c>
      <c r="C20" s="2" t="s">
        <v>141</v>
      </c>
      <c r="D20" s="2" t="s">
        <v>142</v>
      </c>
      <c r="E20" s="2" t="s">
        <v>143</v>
      </c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 t="n">
        <v>18</v>
      </c>
      <c r="B21" s="2" t="s">
        <v>81</v>
      </c>
      <c r="C21" s="2" t="s">
        <v>144</v>
      </c>
      <c r="D21" s="2" t="s">
        <v>145</v>
      </c>
      <c r="E21" s="2" t="s">
        <v>146</v>
      </c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 t="n">
        <v>19</v>
      </c>
      <c r="B22" s="2" t="s">
        <v>81</v>
      </c>
      <c r="C22" s="2" t="s">
        <v>147</v>
      </c>
      <c r="D22" s="2" t="s">
        <v>148</v>
      </c>
      <c r="E22" s="2" t="s">
        <v>149</v>
      </c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 t="n">
        <v>20</v>
      </c>
      <c r="B23" s="2" t="s">
        <v>81</v>
      </c>
      <c r="C23" s="2" t="s">
        <v>150</v>
      </c>
      <c r="D23" s="2" t="s">
        <v>151</v>
      </c>
      <c r="E23" s="2" t="s">
        <v>149</v>
      </c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 t="n">
        <v>21</v>
      </c>
      <c r="B24" s="2" t="s">
        <v>81</v>
      </c>
      <c r="C24" s="2" t="s">
        <v>152</v>
      </c>
      <c r="D24" s="2" t="s">
        <v>153</v>
      </c>
      <c r="E24" s="2" t="s">
        <v>149</v>
      </c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 t="n">
        <v>22</v>
      </c>
      <c r="B25" s="2" t="s">
        <v>81</v>
      </c>
      <c r="C25" s="2" t="s">
        <v>154</v>
      </c>
      <c r="D25" s="2" t="s">
        <v>155</v>
      </c>
      <c r="E25" s="2" t="s">
        <v>149</v>
      </c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 t="n">
        <v>23</v>
      </c>
      <c r="B26" s="2" t="s">
        <v>81</v>
      </c>
      <c r="C26" s="2" t="s">
        <v>156</v>
      </c>
      <c r="D26" s="2" t="s">
        <v>157</v>
      </c>
      <c r="E26" s="2" t="s">
        <v>100</v>
      </c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 t="n">
        <v>24</v>
      </c>
      <c r="B27" s="2" t="s">
        <v>81</v>
      </c>
      <c r="C27" s="2" t="s">
        <v>158</v>
      </c>
      <c r="D27" s="2" t="s">
        <v>159</v>
      </c>
      <c r="E27" s="2" t="s">
        <v>160</v>
      </c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 t="n">
        <v>25</v>
      </c>
      <c r="B28" s="2" t="s">
        <v>81</v>
      </c>
      <c r="C28" s="2" t="s">
        <v>161</v>
      </c>
      <c r="D28" s="2" t="s">
        <v>162</v>
      </c>
      <c r="E28" s="2" t="s">
        <v>160</v>
      </c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 t="n">
        <v>26</v>
      </c>
      <c r="B29" s="2" t="s">
        <v>81</v>
      </c>
      <c r="C29" s="2" t="s">
        <v>163</v>
      </c>
      <c r="D29" s="2" t="s">
        <v>164</v>
      </c>
      <c r="E29" s="2" t="s">
        <v>160</v>
      </c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 t="n">
        <v>27</v>
      </c>
      <c r="B30" s="2" t="s">
        <v>81</v>
      </c>
      <c r="C30" s="2" t="s">
        <v>165</v>
      </c>
      <c r="D30" s="2" t="s">
        <v>166</v>
      </c>
      <c r="E30" s="2" t="s">
        <v>167</v>
      </c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 t="n">
        <v>28</v>
      </c>
      <c r="B31" s="2" t="s">
        <v>81</v>
      </c>
      <c r="C31" s="2" t="s">
        <v>168</v>
      </c>
      <c r="D31" s="2" t="s">
        <v>169</v>
      </c>
      <c r="E31" s="2" t="s">
        <v>167</v>
      </c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2" t="n">
        <v>29</v>
      </c>
      <c r="B32" s="2" t="s">
        <v>81</v>
      </c>
      <c r="C32" s="2" t="s">
        <v>170</v>
      </c>
      <c r="D32" s="2" t="s">
        <v>171</v>
      </c>
      <c r="E32" s="2" t="s">
        <v>167</v>
      </c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 t="n">
        <v>30</v>
      </c>
      <c r="B33" s="2" t="s">
        <v>81</v>
      </c>
      <c r="C33" s="2" t="s">
        <v>172</v>
      </c>
      <c r="D33" s="2" t="s">
        <v>173</v>
      </c>
      <c r="E33" s="2" t="s">
        <v>167</v>
      </c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 t="n">
        <v>31</v>
      </c>
      <c r="B34" s="2" t="s">
        <v>81</v>
      </c>
      <c r="C34" s="2" t="s">
        <v>174</v>
      </c>
      <c r="D34" s="2" t="s">
        <v>175</v>
      </c>
      <c r="E34" s="2" t="s">
        <v>167</v>
      </c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 t="n">
        <v>32</v>
      </c>
      <c r="B35" s="2" t="s">
        <v>81</v>
      </c>
      <c r="C35" s="2" t="s">
        <v>176</v>
      </c>
      <c r="D35" s="2" t="s">
        <v>177</v>
      </c>
      <c r="E35" s="2" t="s">
        <v>167</v>
      </c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 t="n">
        <v>33</v>
      </c>
      <c r="B36" s="2" t="s">
        <v>81</v>
      </c>
      <c r="C36" s="2" t="s">
        <v>178</v>
      </c>
      <c r="D36" s="2" t="s">
        <v>179</v>
      </c>
      <c r="E36" s="2" t="s">
        <v>160</v>
      </c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 t="n">
        <v>34</v>
      </c>
      <c r="B37" s="2" t="s">
        <v>180</v>
      </c>
      <c r="C37" s="2" t="s">
        <v>181</v>
      </c>
      <c r="D37" s="2" t="s">
        <v>182</v>
      </c>
      <c r="E37" s="2" t="s">
        <v>96</v>
      </c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 t="n">
        <v>35</v>
      </c>
      <c r="B38" s="2" t="s">
        <v>180</v>
      </c>
      <c r="C38" s="2" t="s">
        <v>183</v>
      </c>
      <c r="D38" s="2" t="s">
        <v>184</v>
      </c>
      <c r="E38" s="2" t="s">
        <v>146</v>
      </c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 t="n">
        <v>36</v>
      </c>
      <c r="B39" s="2" t="s">
        <v>180</v>
      </c>
      <c r="C39" s="2" t="s">
        <v>185</v>
      </c>
      <c r="D39" s="2" t="s">
        <v>186</v>
      </c>
      <c r="E39" s="2" t="s">
        <v>187</v>
      </c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 t="n">
        <v>37</v>
      </c>
      <c r="B40" s="2" t="s">
        <v>180</v>
      </c>
      <c r="C40" s="2" t="s">
        <v>188</v>
      </c>
      <c r="D40" s="2" t="s">
        <v>189</v>
      </c>
      <c r="E40" s="2" t="s">
        <v>190</v>
      </c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2" t="n">
        <v>38</v>
      </c>
      <c r="B41" s="2" t="s">
        <v>180</v>
      </c>
      <c r="C41" s="2" t="s">
        <v>191</v>
      </c>
      <c r="D41" s="2" t="s">
        <v>192</v>
      </c>
      <c r="E41" s="2" t="s">
        <v>149</v>
      </c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2" t="n">
        <v>39</v>
      </c>
      <c r="B42" s="2" t="s">
        <v>180</v>
      </c>
      <c r="C42" s="2" t="s">
        <v>193</v>
      </c>
      <c r="D42" s="2" t="s">
        <v>194</v>
      </c>
      <c r="E42" s="2" t="s">
        <v>100</v>
      </c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2" t="n">
        <v>40</v>
      </c>
      <c r="B43" s="2" t="s">
        <v>180</v>
      </c>
      <c r="C43" s="2" t="s">
        <v>195</v>
      </c>
      <c r="D43" s="2" t="s">
        <v>196</v>
      </c>
      <c r="E43" s="2" t="s">
        <v>149</v>
      </c>
      <c r="F43" s="2"/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2" t="n">
        <v>41</v>
      </c>
      <c r="B44" s="2" t="s">
        <v>180</v>
      </c>
      <c r="C44" s="2" t="s">
        <v>197</v>
      </c>
      <c r="D44" s="2" t="s">
        <v>198</v>
      </c>
      <c r="E44" s="2" t="s">
        <v>100</v>
      </c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2" t="n">
        <v>42</v>
      </c>
      <c r="B45" s="2" t="s">
        <v>180</v>
      </c>
      <c r="C45" s="2" t="s">
        <v>199</v>
      </c>
      <c r="D45" s="2" t="s">
        <v>200</v>
      </c>
      <c r="E45" s="2" t="s">
        <v>201</v>
      </c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2" t="n">
        <v>43</v>
      </c>
      <c r="B46" s="2" t="s">
        <v>180</v>
      </c>
      <c r="C46" s="2" t="s">
        <v>202</v>
      </c>
      <c r="D46" s="2" t="s">
        <v>203</v>
      </c>
      <c r="E46" s="2" t="s">
        <v>96</v>
      </c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2" t="n">
        <v>44</v>
      </c>
      <c r="B47" s="2" t="s">
        <v>204</v>
      </c>
      <c r="C47" s="2" t="s">
        <v>205</v>
      </c>
      <c r="D47" s="2" t="s">
        <v>206</v>
      </c>
      <c r="E47" s="2" t="s">
        <v>207</v>
      </c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2" t="n">
        <v>45</v>
      </c>
      <c r="B48" s="2" t="s">
        <v>204</v>
      </c>
      <c r="C48" s="2" t="s">
        <v>208</v>
      </c>
      <c r="D48" s="2" t="s">
        <v>209</v>
      </c>
      <c r="E48" s="2" t="s">
        <v>210</v>
      </c>
      <c r="F48" s="2"/>
      <c r="G48" s="2"/>
      <c r="H48" s="2"/>
      <c r="I48" s="2"/>
      <c r="J48" s="2"/>
      <c r="K48" s="2"/>
      <c r="L48" s="2"/>
    </row>
    <row r="49" customFormat="false" ht="15" hidden="false" customHeight="false" outlineLevel="0" collapsed="false">
      <c r="A49" s="2" t="n">
        <v>46</v>
      </c>
      <c r="B49" s="2" t="s">
        <v>204</v>
      </c>
      <c r="C49" s="2" t="s">
        <v>211</v>
      </c>
      <c r="D49" s="2" t="s">
        <v>212</v>
      </c>
      <c r="E49" s="2" t="s">
        <v>96</v>
      </c>
      <c r="F49" s="2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2" t="n">
        <v>47</v>
      </c>
      <c r="B50" s="2" t="s">
        <v>204</v>
      </c>
      <c r="C50" s="2" t="s">
        <v>213</v>
      </c>
      <c r="D50" s="2" t="s">
        <v>214</v>
      </c>
      <c r="E50" s="2" t="s">
        <v>96</v>
      </c>
      <c r="F50" s="2"/>
      <c r="G50" s="2"/>
      <c r="H50" s="2"/>
      <c r="I50" s="2"/>
      <c r="J50" s="2"/>
      <c r="K50" s="2"/>
      <c r="L50" s="2"/>
    </row>
    <row r="51" customFormat="false" ht="15" hidden="false" customHeight="false" outlineLevel="0" collapsed="false">
      <c r="A51" s="2" t="n">
        <v>48</v>
      </c>
      <c r="B51" s="2" t="s">
        <v>204</v>
      </c>
      <c r="C51" s="2" t="s">
        <v>215</v>
      </c>
      <c r="D51" s="2" t="s">
        <v>216</v>
      </c>
      <c r="E51" s="2" t="s">
        <v>100</v>
      </c>
      <c r="F51" s="2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2" t="n">
        <v>49</v>
      </c>
      <c r="B52" s="2" t="s">
        <v>204</v>
      </c>
      <c r="C52" s="2" t="s">
        <v>217</v>
      </c>
      <c r="D52" s="2" t="s">
        <v>218</v>
      </c>
      <c r="E52" s="2" t="s">
        <v>187</v>
      </c>
      <c r="F52" s="2"/>
      <c r="G52" s="2"/>
      <c r="H52" s="2"/>
      <c r="I52" s="2"/>
      <c r="J52" s="2"/>
      <c r="K52" s="2"/>
      <c r="L52" s="2"/>
    </row>
    <row r="53" customFormat="false" ht="15" hidden="false" customHeight="false" outlineLevel="0" collapsed="false">
      <c r="A53" s="2" t="n">
        <v>50</v>
      </c>
      <c r="B53" s="2" t="s">
        <v>204</v>
      </c>
      <c r="C53" s="2" t="s">
        <v>219</v>
      </c>
      <c r="D53" s="2" t="s">
        <v>220</v>
      </c>
      <c r="E53" s="2" t="s">
        <v>118</v>
      </c>
      <c r="F53" s="2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2" t="n">
        <v>51</v>
      </c>
      <c r="B54" s="2" t="s">
        <v>204</v>
      </c>
      <c r="C54" s="2" t="s">
        <v>221</v>
      </c>
      <c r="D54" s="2" t="s">
        <v>222</v>
      </c>
      <c r="E54" s="2" t="s">
        <v>118</v>
      </c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2" t="n">
        <v>52</v>
      </c>
      <c r="B55" s="2" t="s">
        <v>204</v>
      </c>
      <c r="C55" s="2" t="s">
        <v>223</v>
      </c>
      <c r="D55" s="2" t="s">
        <v>224</v>
      </c>
      <c r="E55" s="2" t="s">
        <v>133</v>
      </c>
      <c r="F55" s="2"/>
      <c r="G55" s="2"/>
      <c r="H55" s="2"/>
      <c r="I55" s="2"/>
      <c r="J55" s="2"/>
      <c r="K55" s="2"/>
      <c r="L55" s="2"/>
    </row>
    <row r="56" customFormat="false" ht="15" hidden="false" customHeight="false" outlineLevel="0" collapsed="false">
      <c r="A56" s="2" t="n">
        <v>53</v>
      </c>
      <c r="B56" s="2" t="s">
        <v>204</v>
      </c>
      <c r="C56" s="2" t="s">
        <v>225</v>
      </c>
      <c r="D56" s="2" t="s">
        <v>226</v>
      </c>
      <c r="E56" s="2" t="s">
        <v>136</v>
      </c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2" t="n">
        <v>54</v>
      </c>
      <c r="B57" s="2" t="s">
        <v>204</v>
      </c>
      <c r="C57" s="2" t="s">
        <v>227</v>
      </c>
      <c r="D57" s="2" t="s">
        <v>228</v>
      </c>
      <c r="E57" s="2" t="s">
        <v>143</v>
      </c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 t="n">
        <v>55</v>
      </c>
      <c r="B58" s="2" t="s">
        <v>204</v>
      </c>
      <c r="C58" s="2" t="s">
        <v>229</v>
      </c>
      <c r="D58" s="2" t="s">
        <v>230</v>
      </c>
      <c r="E58" s="2" t="s">
        <v>146</v>
      </c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2" t="n">
        <v>56</v>
      </c>
      <c r="B59" s="2" t="s">
        <v>204</v>
      </c>
      <c r="C59" s="2" t="s">
        <v>231</v>
      </c>
      <c r="D59" s="2" t="s">
        <v>232</v>
      </c>
      <c r="E59" s="2" t="s">
        <v>146</v>
      </c>
      <c r="F59" s="2"/>
      <c r="G59" s="2"/>
      <c r="H59" s="2"/>
      <c r="I59" s="2"/>
      <c r="J59" s="2"/>
      <c r="K59" s="2"/>
      <c r="L59" s="2"/>
    </row>
    <row r="60" customFormat="false" ht="15" hidden="false" customHeight="false" outlineLevel="0" collapsed="false">
      <c r="A60" s="2" t="n">
        <v>57</v>
      </c>
      <c r="B60" s="2" t="s">
        <v>204</v>
      </c>
      <c r="C60" s="2" t="s">
        <v>233</v>
      </c>
      <c r="D60" s="2" t="s">
        <v>234</v>
      </c>
      <c r="E60" s="2" t="s">
        <v>149</v>
      </c>
      <c r="F60" s="2"/>
      <c r="G60" s="2"/>
      <c r="H60" s="2"/>
      <c r="I60" s="2"/>
      <c r="J60" s="2"/>
      <c r="K60" s="2"/>
      <c r="L60" s="2"/>
    </row>
    <row r="61" customFormat="false" ht="15" hidden="false" customHeight="false" outlineLevel="0" collapsed="false">
      <c r="A61" s="2" t="n">
        <v>58</v>
      </c>
      <c r="B61" s="2" t="s">
        <v>204</v>
      </c>
      <c r="C61" s="2" t="s">
        <v>235</v>
      </c>
      <c r="D61" s="2" t="s">
        <v>236</v>
      </c>
      <c r="E61" s="2" t="s">
        <v>149</v>
      </c>
      <c r="F61" s="2"/>
      <c r="G61" s="2"/>
      <c r="H61" s="2"/>
      <c r="I61" s="2"/>
      <c r="J61" s="2"/>
      <c r="K61" s="2"/>
      <c r="L61" s="2"/>
    </row>
    <row r="62" customFormat="false" ht="15" hidden="false" customHeight="false" outlineLevel="0" collapsed="false">
      <c r="A62" s="2" t="n">
        <v>59</v>
      </c>
      <c r="B62" s="2" t="s">
        <v>204</v>
      </c>
      <c r="C62" s="2" t="s">
        <v>237</v>
      </c>
      <c r="D62" s="2" t="s">
        <v>238</v>
      </c>
      <c r="E62" s="2" t="s">
        <v>160</v>
      </c>
      <c r="F62" s="2"/>
      <c r="G62" s="2"/>
      <c r="H62" s="2"/>
      <c r="I62" s="2"/>
      <c r="J62" s="2"/>
      <c r="K62" s="2"/>
      <c r="L62" s="2"/>
    </row>
    <row r="63" customFormat="false" ht="15" hidden="false" customHeight="false" outlineLevel="0" collapsed="false">
      <c r="A63" s="2" t="n">
        <v>60</v>
      </c>
      <c r="B63" s="2" t="s">
        <v>204</v>
      </c>
      <c r="C63" s="2" t="s">
        <v>239</v>
      </c>
      <c r="D63" s="2" t="s">
        <v>240</v>
      </c>
      <c r="E63" s="2" t="s">
        <v>160</v>
      </c>
      <c r="F63" s="2"/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2" t="n">
        <v>61</v>
      </c>
      <c r="B64" s="2" t="s">
        <v>204</v>
      </c>
      <c r="C64" s="2" t="s">
        <v>241</v>
      </c>
      <c r="D64" s="2" t="s">
        <v>242</v>
      </c>
      <c r="E64" s="2" t="s">
        <v>207</v>
      </c>
      <c r="F64" s="2"/>
      <c r="G64" s="2"/>
      <c r="H64" s="2"/>
      <c r="I64" s="2"/>
      <c r="J64" s="2"/>
      <c r="K64" s="2"/>
      <c r="L64" s="2"/>
    </row>
    <row r="65" customFormat="false" ht="15" hidden="false" customHeight="false" outlineLevel="0" collapsed="false">
      <c r="A65" s="2" t="n">
        <v>62</v>
      </c>
      <c r="B65" s="2" t="s">
        <v>204</v>
      </c>
      <c r="C65" s="2" t="s">
        <v>243</v>
      </c>
      <c r="D65" s="2" t="s">
        <v>244</v>
      </c>
      <c r="E65" s="2" t="s">
        <v>149</v>
      </c>
      <c r="F65" s="2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2" t="n">
        <v>63</v>
      </c>
      <c r="B66" s="2" t="s">
        <v>204</v>
      </c>
      <c r="C66" s="2" t="s">
        <v>245</v>
      </c>
      <c r="D66" s="2" t="s">
        <v>246</v>
      </c>
      <c r="E66" s="2" t="s">
        <v>190</v>
      </c>
      <c r="F66" s="2"/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2" t="n">
        <v>64</v>
      </c>
      <c r="B67" s="2" t="s">
        <v>247</v>
      </c>
      <c r="C67" s="2" t="s">
        <v>248</v>
      </c>
      <c r="D67" s="2" t="s">
        <v>249</v>
      </c>
      <c r="E67" s="2" t="s">
        <v>250</v>
      </c>
      <c r="F67" s="2"/>
      <c r="G67" s="2"/>
      <c r="H67" s="2"/>
      <c r="I67" s="2"/>
      <c r="J67" s="2"/>
      <c r="K67" s="2"/>
      <c r="L67" s="2"/>
    </row>
    <row r="68" customFormat="false" ht="15" hidden="false" customHeight="false" outlineLevel="0" collapsed="false">
      <c r="A68" s="2" t="n">
        <v>65</v>
      </c>
      <c r="B68" s="2" t="s">
        <v>247</v>
      </c>
      <c r="C68" s="2" t="s">
        <v>251</v>
      </c>
      <c r="D68" s="2" t="s">
        <v>252</v>
      </c>
      <c r="E68" s="2" t="s">
        <v>160</v>
      </c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2" t="n">
        <v>66</v>
      </c>
      <c r="B69" s="2" t="s">
        <v>247</v>
      </c>
      <c r="C69" s="2" t="s">
        <v>253</v>
      </c>
      <c r="D69" s="2" t="s">
        <v>254</v>
      </c>
      <c r="E69" s="2" t="s">
        <v>100</v>
      </c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2" t="n">
        <v>67</v>
      </c>
      <c r="B70" s="2" t="s">
        <v>247</v>
      </c>
      <c r="C70" s="2" t="s">
        <v>255</v>
      </c>
      <c r="D70" s="2" t="s">
        <v>256</v>
      </c>
      <c r="E70" s="2" t="s">
        <v>100</v>
      </c>
      <c r="F70" s="2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2" t="n">
        <v>68</v>
      </c>
      <c r="B71" s="2" t="s">
        <v>247</v>
      </c>
      <c r="C71" s="2" t="s">
        <v>257</v>
      </c>
      <c r="D71" s="2" t="s">
        <v>258</v>
      </c>
      <c r="E71" s="2" t="s">
        <v>113</v>
      </c>
      <c r="F71" s="2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2" t="n">
        <v>69</v>
      </c>
      <c r="B72" s="2" t="s">
        <v>247</v>
      </c>
      <c r="C72" s="2" t="s">
        <v>259</v>
      </c>
      <c r="D72" s="2" t="s">
        <v>260</v>
      </c>
      <c r="E72" s="2" t="s">
        <v>118</v>
      </c>
      <c r="F72" s="2"/>
      <c r="G72" s="2"/>
      <c r="H72" s="2"/>
      <c r="I72" s="2"/>
      <c r="J72" s="2"/>
      <c r="K72" s="2"/>
      <c r="L72" s="2"/>
    </row>
    <row r="73" customFormat="false" ht="15" hidden="false" customHeight="false" outlineLevel="0" collapsed="false">
      <c r="A73" s="2" t="n">
        <v>70</v>
      </c>
      <c r="B73" s="2" t="s">
        <v>247</v>
      </c>
      <c r="C73" s="2" t="s">
        <v>261</v>
      </c>
      <c r="D73" s="2" t="s">
        <v>262</v>
      </c>
      <c r="E73" s="2" t="s">
        <v>263</v>
      </c>
      <c r="F73" s="2"/>
      <c r="G73" s="2"/>
      <c r="H73" s="2"/>
      <c r="I73" s="2"/>
      <c r="J73" s="2"/>
      <c r="K73" s="2"/>
      <c r="L73" s="2"/>
    </row>
    <row r="74" customFormat="false" ht="15" hidden="false" customHeight="false" outlineLevel="0" collapsed="false">
      <c r="A74" s="2" t="n">
        <v>71</v>
      </c>
      <c r="B74" s="2" t="s">
        <v>247</v>
      </c>
      <c r="C74" s="2" t="s">
        <v>264</v>
      </c>
      <c r="D74" s="2" t="s">
        <v>265</v>
      </c>
      <c r="E74" s="2" t="s">
        <v>266</v>
      </c>
      <c r="F74" s="2"/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2" t="n">
        <v>72</v>
      </c>
      <c r="B75" s="2" t="s">
        <v>247</v>
      </c>
      <c r="C75" s="2" t="s">
        <v>267</v>
      </c>
      <c r="D75" s="2" t="s">
        <v>268</v>
      </c>
      <c r="E75" s="2" t="s">
        <v>96</v>
      </c>
      <c r="F75" s="2"/>
      <c r="G75" s="2"/>
      <c r="H75" s="2"/>
      <c r="I75" s="2"/>
      <c r="J75" s="2"/>
      <c r="K75" s="2"/>
      <c r="L75" s="2"/>
    </row>
    <row r="76" customFormat="false" ht="15" hidden="false" customHeight="false" outlineLevel="0" collapsed="false">
      <c r="A76" s="2" t="n">
        <v>73</v>
      </c>
      <c r="B76" s="2" t="s">
        <v>247</v>
      </c>
      <c r="C76" s="2" t="s">
        <v>269</v>
      </c>
      <c r="D76" s="2" t="s">
        <v>270</v>
      </c>
      <c r="E76" s="2" t="s">
        <v>271</v>
      </c>
      <c r="F76" s="2"/>
      <c r="G76" s="2"/>
      <c r="H76" s="2"/>
      <c r="I76" s="2"/>
      <c r="J76" s="2"/>
      <c r="K76" s="2"/>
      <c r="L76" s="2"/>
    </row>
    <row r="77" customFormat="false" ht="15" hidden="false" customHeight="false" outlineLevel="0" collapsed="false">
      <c r="A77" s="2" t="n">
        <v>74</v>
      </c>
      <c r="B77" s="2" t="s">
        <v>247</v>
      </c>
      <c r="C77" s="2" t="s">
        <v>272</v>
      </c>
      <c r="D77" s="2" t="s">
        <v>273</v>
      </c>
      <c r="E77" s="2" t="s">
        <v>271</v>
      </c>
      <c r="F77" s="2"/>
      <c r="G77" s="2"/>
      <c r="H77" s="2"/>
      <c r="I77" s="2"/>
      <c r="J77" s="2"/>
      <c r="K77" s="2"/>
      <c r="L77" s="2"/>
    </row>
    <row r="78" customFormat="false" ht="15" hidden="false" customHeight="false" outlineLevel="0" collapsed="false">
      <c r="A78" s="2" t="n">
        <v>75</v>
      </c>
      <c r="B78" s="2" t="s">
        <v>247</v>
      </c>
      <c r="C78" s="2" t="s">
        <v>274</v>
      </c>
      <c r="D78" s="2" t="s">
        <v>275</v>
      </c>
      <c r="E78" s="2" t="s">
        <v>167</v>
      </c>
      <c r="F78" s="2"/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2" t="n">
        <v>76</v>
      </c>
      <c r="B79" s="2" t="s">
        <v>247</v>
      </c>
      <c r="C79" s="2" t="s">
        <v>276</v>
      </c>
      <c r="D79" s="2" t="s">
        <v>277</v>
      </c>
      <c r="E79" s="2" t="s">
        <v>160</v>
      </c>
      <c r="F79" s="2"/>
      <c r="G79" s="2"/>
      <c r="H79" s="2"/>
      <c r="I79" s="2"/>
      <c r="J79" s="2"/>
      <c r="K79" s="2"/>
      <c r="L79" s="2"/>
    </row>
    <row r="80" customFormat="false" ht="15" hidden="false" customHeight="false" outlineLevel="0" collapsed="false">
      <c r="A80" s="2" t="n">
        <v>77</v>
      </c>
      <c r="B80" s="2" t="s">
        <v>247</v>
      </c>
      <c r="C80" s="2" t="s">
        <v>278</v>
      </c>
      <c r="D80" s="2" t="s">
        <v>279</v>
      </c>
      <c r="E80" s="2" t="s">
        <v>136</v>
      </c>
      <c r="F80" s="2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2" t="n">
        <v>78</v>
      </c>
      <c r="B81" s="2" t="s">
        <v>247</v>
      </c>
      <c r="C81" s="2" t="s">
        <v>280</v>
      </c>
      <c r="D81" s="2" t="s">
        <v>281</v>
      </c>
      <c r="E81" s="2" t="s">
        <v>146</v>
      </c>
      <c r="F81" s="2"/>
      <c r="G81" s="2"/>
      <c r="H81" s="2"/>
      <c r="I81" s="2"/>
      <c r="J81" s="2"/>
      <c r="K81" s="2"/>
      <c r="L81" s="2"/>
    </row>
    <row r="82" customFormat="false" ht="15" hidden="false" customHeight="false" outlineLevel="0" collapsed="false">
      <c r="A82" s="2" t="n">
        <v>79</v>
      </c>
      <c r="B82" s="2" t="s">
        <v>247</v>
      </c>
      <c r="C82" s="2" t="s">
        <v>282</v>
      </c>
      <c r="D82" s="2" t="s">
        <v>283</v>
      </c>
      <c r="E82" s="2" t="s">
        <v>143</v>
      </c>
      <c r="F82" s="2"/>
      <c r="G82" s="2"/>
      <c r="H82" s="2"/>
      <c r="I82" s="2"/>
      <c r="J82" s="2"/>
      <c r="K82" s="2"/>
      <c r="L82" s="2"/>
    </row>
    <row r="83" customFormat="false" ht="15" hidden="false" customHeight="false" outlineLevel="0" collapsed="false">
      <c r="A83" s="2" t="n">
        <v>80</v>
      </c>
      <c r="B83" s="2" t="s">
        <v>247</v>
      </c>
      <c r="C83" s="2" t="s">
        <v>284</v>
      </c>
      <c r="D83" s="2" t="s">
        <v>285</v>
      </c>
      <c r="E83" s="2" t="s">
        <v>190</v>
      </c>
      <c r="F83" s="2"/>
      <c r="G83" s="2"/>
      <c r="H83" s="2"/>
      <c r="I83" s="2"/>
      <c r="J83" s="2"/>
      <c r="K83" s="2"/>
      <c r="L83" s="2"/>
    </row>
    <row r="84" customFormat="false" ht="15" hidden="false" customHeight="false" outlineLevel="0" collapsed="false">
      <c r="A84" s="2" t="n">
        <v>81</v>
      </c>
      <c r="B84" s="2" t="s">
        <v>247</v>
      </c>
      <c r="C84" s="2" t="s">
        <v>286</v>
      </c>
      <c r="D84" s="2" t="s">
        <v>287</v>
      </c>
      <c r="E84" s="2" t="s">
        <v>190</v>
      </c>
      <c r="F84" s="2"/>
      <c r="G84" s="2"/>
      <c r="H84" s="2"/>
      <c r="I84" s="2"/>
      <c r="J84" s="2"/>
      <c r="K84" s="2"/>
      <c r="L84" s="2"/>
    </row>
    <row r="85" customFormat="false" ht="15" hidden="false" customHeight="false" outlineLevel="0" collapsed="false">
      <c r="A85" s="2" t="n">
        <v>82</v>
      </c>
      <c r="B85" s="2" t="s">
        <v>247</v>
      </c>
      <c r="C85" s="2" t="s">
        <v>288</v>
      </c>
      <c r="D85" s="2" t="s">
        <v>289</v>
      </c>
      <c r="E85" s="2" t="s">
        <v>190</v>
      </c>
      <c r="F85" s="2"/>
      <c r="G85" s="2"/>
      <c r="H85" s="2"/>
      <c r="I85" s="2"/>
      <c r="J85" s="2"/>
      <c r="K85" s="2"/>
      <c r="L85" s="2"/>
    </row>
    <row r="86" customFormat="false" ht="15" hidden="false" customHeight="false" outlineLevel="0" collapsed="false">
      <c r="A86" s="2" t="n">
        <v>83</v>
      </c>
      <c r="B86" s="2" t="s">
        <v>290</v>
      </c>
      <c r="C86" s="2" t="s">
        <v>291</v>
      </c>
      <c r="D86" s="2" t="s">
        <v>292</v>
      </c>
      <c r="E86" s="2" t="s">
        <v>149</v>
      </c>
      <c r="F86" s="2"/>
      <c r="G86" s="2"/>
      <c r="H86" s="2"/>
      <c r="I86" s="2"/>
      <c r="J86" s="2"/>
      <c r="K86" s="2"/>
      <c r="L8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1" t="s">
        <v>293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26.85" hidden="false" customHeight="false" outlineLevel="0" collapsed="false">
      <c r="A3" s="3" t="s">
        <v>58</v>
      </c>
      <c r="B3" s="3" t="s">
        <v>294</v>
      </c>
      <c r="C3" s="3" t="s">
        <v>295</v>
      </c>
      <c r="D3" s="3" t="s">
        <v>88</v>
      </c>
    </row>
    <row r="4" customFormat="false" ht="15" hidden="false" customHeight="false" outlineLevel="0" collapsed="false">
      <c r="A4" s="2" t="s">
        <v>119</v>
      </c>
      <c r="B4" s="13" t="n">
        <f aca="false">COCOMO!B5</f>
        <v>23.1472659911754</v>
      </c>
      <c r="C4" s="13" t="n">
        <f aca="false">PuntosFuncion!K12</f>
        <v>23.810625</v>
      </c>
      <c r="D4" s="2" t="s">
        <v>296</v>
      </c>
    </row>
    <row r="5" customFormat="false" ht="15" hidden="false" customHeight="false" outlineLevel="0" collapsed="false">
      <c r="A5" s="2" t="s">
        <v>297</v>
      </c>
      <c r="B5" s="17" t="n">
        <f aca="false">Supuestos!$B$5</f>
        <v>13417</v>
      </c>
      <c r="C5" s="17" t="n">
        <f aca="false">Supuestos!$B$5</f>
        <v>13417</v>
      </c>
      <c r="D5" s="2" t="s">
        <v>298</v>
      </c>
    </row>
    <row r="6" customFormat="false" ht="15" hidden="false" customHeight="false" outlineLevel="0" collapsed="false">
      <c r="A6" s="2" t="s">
        <v>299</v>
      </c>
      <c r="B6" s="17" t="n">
        <f aca="false">B4*B5</f>
        <v>310566.867803601</v>
      </c>
      <c r="C6" s="17" t="n">
        <f aca="false">C4*C5</f>
        <v>319467.155625</v>
      </c>
      <c r="D6" s="2" t="s">
        <v>300</v>
      </c>
    </row>
    <row r="7" customFormat="false" ht="15" hidden="false" customHeight="false" outlineLevel="0" collapsed="false">
      <c r="A7" s="2" t="s">
        <v>301</v>
      </c>
      <c r="B7" s="17" t="n">
        <f aca="false">B6*Supuestos!$B$6</f>
        <v>77641.7169509002</v>
      </c>
      <c r="C7" s="17" t="n">
        <f aca="false">C6*Supuestos!$B$6</f>
        <v>79866.78890625</v>
      </c>
      <c r="D7" s="2" t="s">
        <v>302</v>
      </c>
    </row>
    <row r="8" customFormat="false" ht="15" hidden="false" customHeight="false" outlineLevel="0" collapsed="false">
      <c r="A8" s="15" t="s">
        <v>303</v>
      </c>
      <c r="B8" s="18" t="n">
        <f aca="false">B6+B7</f>
        <v>388208.584754501</v>
      </c>
      <c r="C8" s="18" t="n">
        <f aca="false">C6+C7</f>
        <v>399333.94453125</v>
      </c>
      <c r="D8" s="2" t="s">
        <v>304</v>
      </c>
    </row>
    <row r="9" customFormat="false" ht="15" hidden="false" customHeight="false" outlineLevel="0" collapsed="false">
      <c r="A9" s="2" t="s">
        <v>305</v>
      </c>
      <c r="B9" s="13" t="n">
        <f aca="false">COCOMO!B6</f>
        <v>8.24992300790204</v>
      </c>
      <c r="C9" s="13" t="n">
        <f aca="false">PuntosFuncion!K13</f>
        <v>7.936875</v>
      </c>
      <c r="D9" s="2" t="s">
        <v>306</v>
      </c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2" t="s">
        <v>307</v>
      </c>
      <c r="B11" s="17" t="n">
        <f aca="false">C8-B8</f>
        <v>11125.3597767489</v>
      </c>
      <c r="C11" s="2"/>
      <c r="D11" s="2"/>
    </row>
    <row r="12" customFormat="false" ht="15" hidden="false" customHeight="false" outlineLevel="0" collapsed="false">
      <c r="A12" s="2" t="s">
        <v>308</v>
      </c>
      <c r="B12" s="19" t="n">
        <f aca="false">(C8-B8)/B8</f>
        <v>0.0286582013218087</v>
      </c>
      <c r="C12" s="2"/>
      <c r="D12" s="2"/>
    </row>
    <row r="13" customFormat="false" ht="15" hidden="false" customHeight="false" outlineLevel="0" collapsed="false">
      <c r="A13" s="10" t="s">
        <v>309</v>
      </c>
      <c r="B13" s="17" t="n">
        <f aca="false">AVERAGE(B8:C8)</f>
        <v>393771.264642876</v>
      </c>
      <c r="C13" s="2"/>
      <c r="D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2026-09-27T17:42:13Z</dcterms:created>
  <dc:creator>openpyxl</dc:creator>
  <dc:description/>
  <dc:language>en-US</dc:language>
  <cp:lastModifiedBy/>
  <dcterms:modified xsi:type="dcterms:W3CDTF">2026-09-27T17:42:13Z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