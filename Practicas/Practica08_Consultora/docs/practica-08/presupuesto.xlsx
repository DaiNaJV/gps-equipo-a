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F_Ajustados" sheetId="2" state="visible" r:id="rId4"/>
    <sheet name="Presupuesto" sheetId="3" state="visible" r:id="rId5"/>
    <sheet name="PorFa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<sst xmlns="http://schemas.openxmlformats.org/spreadsheetml/2006/main" count="113" uniqueCount="97">
  <si>
    <t xml:space="preserve">Presupuesto - Supuestos (celdas azules/amarillas = entradas)</t>
  </si>
  <si>
    <t xml:space="preserve">Supuesto</t>
  </si>
  <si>
    <t xml:space="preserve">Valor</t>
  </si>
  <si>
    <t xml:space="preserve">Unidad</t>
  </si>
  <si>
    <t xml:space="preserve">Fuente</t>
  </si>
  <si>
    <t xml:space="preserve">Puntos de función base (P5, sistema actual)</t>
  </si>
  <si>
    <t xml:space="preserve">PF</t>
  </si>
  <si>
    <t xml:space="preserve">Práctica 5, hoja PuntosFuncion</t>
  </si>
  <si>
    <t xml:space="preserve">Productividad (PDR)</t>
  </si>
  <si>
    <t xml:space="preserve">h/PF</t>
  </si>
  <si>
    <t xml:space="preserve">ISBSG 2021, mediana lenguajes tradicionales (P5)</t>
  </si>
  <si>
    <t xml:space="preserve">Factor de reutilización</t>
  </si>
  <si>
    <t xml:space="preserve">%</t>
  </si>
  <si>
    <t xml:space="preserve">Se reutilizan requerimientos, modelo de datos, diseño de pantallas y reglas ya documentadas (P2-P4)</t>
  </si>
  <si>
    <t xml:space="preserve">Horas por mes</t>
  </si>
  <si>
    <t xml:space="preserve">h</t>
  </si>
  <si>
    <t xml:space="preserve">P5</t>
  </si>
  <si>
    <t xml:space="preserve">Salario líder técnico (desarrollador de software, SLP)</t>
  </si>
  <si>
    <t xml:space="preserve">MXN/mes</t>
  </si>
  <si>
    <t xml:space="preserve">Indeed México, 'Desarrollador/a de software' en San Luis, S.L.P.</t>
  </si>
  <si>
    <t xml:space="preserve">Salario desarrollador junior (SLP)</t>
  </si>
  <si>
    <t xml:space="preserve">Glassdoor México, mediana 'Programador Júnior' en SLP (P5)</t>
  </si>
  <si>
    <t xml:space="preserve">Número de desarrolladores junior</t>
  </si>
  <si>
    <t xml:space="preserve">personas</t>
  </si>
  <si>
    <t xml:space="preserve">Plan de personal: 1 líder + 2 junior ≈ 2.8 personas de COCOMO (P5)</t>
  </si>
  <si>
    <t xml:space="preserve">Duración del proyecto</t>
  </si>
  <si>
    <t xml:space="preserve">meses</t>
  </si>
  <si>
    <t xml:space="preserve">Cronograma: 28 semanas (ruta crítica)</t>
  </si>
  <si>
    <t xml:space="preserve">Costos indirectos</t>
  </si>
  <si>
    <t xml:space="preserve">Cuadernillo P5</t>
  </si>
  <si>
    <t xml:space="preserve">Reserva de contingencia</t>
  </si>
  <si>
    <t xml:space="preserve">Riesgos del top 10 (P7) y variación ±30% de la estimación</t>
  </si>
  <si>
    <t xml:space="preserve">Estimación de consenso P5 (construir de cero)</t>
  </si>
  <si>
    <t xml:space="preserve">MXN</t>
  </si>
  <si>
    <t xml:space="preserve">Práctica 5 / delphi.md — REEMPLAZAR por la cifra acordada en el Delphi</t>
  </si>
  <si>
    <t xml:space="preserve">Ajuste de puntos de función al nuevo alcance</t>
  </si>
  <si>
    <t xml:space="preserve">Concepto</t>
  </si>
  <si>
    <t xml:space="preserve">Tipo</t>
  </si>
  <si>
    <t xml:space="preserve">Cantidad</t>
  </si>
  <si>
    <t xml:space="preserve">Peso</t>
  </si>
  <si>
    <t xml:space="preserve">Justificación</t>
  </si>
  <si>
    <t xml:space="preserve">Sistema actual (P5)</t>
  </si>
  <si>
    <t xml:space="preserve">—</t>
  </si>
  <si>
    <t xml:space="preserve">base</t>
  </si>
  <si>
    <t xml:space="preserve">Quitar: exámenes / plan de estudios (ILF notas, examenes, inscribir_examenes)</t>
  </si>
  <si>
    <t xml:space="preserve">ILF</t>
  </si>
  <si>
    <t xml:space="preserve">Fuera de alcance (heredado, P3 HU-20)</t>
  </si>
  <si>
    <t xml:space="preserve">Quitar: PDF inscritos a examen</t>
  </si>
  <si>
    <t xml:space="preserve">EO</t>
  </si>
  <si>
    <t xml:space="preserve">Quitar: consulta plan de estudios</t>
  </si>
  <si>
    <t xml:space="preserve">EQ</t>
  </si>
  <si>
    <t xml:space="preserve">Nuevo: registrar anteproyecto, dictaminar, asignar asesores, cambiar contraseña, aceptar aviso de privacidad, solicitud ARCO</t>
  </si>
  <si>
    <t xml:space="preserve">EI</t>
  </si>
  <si>
    <t xml:space="preserve">Requerimientos del Tec y LGPDPPSO (P3, P7)</t>
  </si>
  <si>
    <t xml:space="preserve">Nuevo: notificación por cambio de estado, acta de calificación final PDF</t>
  </si>
  <si>
    <t xml:space="preserve">Nuevo: consulta de anteproyectos, bitácora de auditoría</t>
  </si>
  <si>
    <t xml:space="preserve">Nuevo: tablas anteproyectos, asignaciones, bitácora, solicitudes ARCO</t>
  </si>
  <si>
    <t xml:space="preserve">PF del nuevo alcance</t>
  </si>
  <si>
    <t xml:space="preserve">Horas sin reutilización</t>
  </si>
  <si>
    <t xml:space="preserve">Horas con reutilización</t>
  </si>
  <si>
    <t xml:space="preserve">Esfuerzo (personas-mes)</t>
  </si>
  <si>
    <t xml:space="preserve">Personas-mes del plan de personal (comparación)</t>
  </si>
  <si>
    <t xml:space="preserve">Presupuesto de la reingeniería (MXN)</t>
  </si>
  <si>
    <t xml:space="preserve">Costo unitario</t>
  </si>
  <si>
    <t xml:space="preserve">Subtotal</t>
  </si>
  <si>
    <t xml:space="preserve">Nota</t>
  </si>
  <si>
    <t xml:space="preserve">Líder técnico / Director</t>
  </si>
  <si>
    <t xml:space="preserve">Todo el proyecto</t>
  </si>
  <si>
    <t xml:space="preserve">Desarrolladores junior</t>
  </si>
  <si>
    <t xml:space="preserve">meses-persona</t>
  </si>
  <si>
    <t xml:space="preserve">Servidor de pruebas y producción (VPS, 12 meses) + SSL + respaldos</t>
  </si>
  <si>
    <t xml:space="preserve">Supuesto del equipo</t>
  </si>
  <si>
    <t xml:space="preserve">Asesoría jurídica: aviso de privacidad y procedimiento ARCO</t>
  </si>
  <si>
    <t xml:space="preserve">servicio</t>
  </si>
  <si>
    <t xml:space="preserve">Capacitación a usuarios (material y sesiones)</t>
  </si>
  <si>
    <t xml:space="preserve">Licencias de software</t>
  </si>
  <si>
    <t xml:space="preserve">Todo open source: Laravel, MySQL, PhpSpreadsheet, TCPDF</t>
  </si>
  <si>
    <t xml:space="preserve">Costo de personal</t>
  </si>
  <si>
    <t xml:space="preserve">Costos indirectos (25% sobre personal)</t>
  </si>
  <si>
    <t xml:space="preserve">Otros costos directos</t>
  </si>
  <si>
    <t xml:space="preserve">Reserva de contingencia (15%)</t>
  </si>
  <si>
    <t xml:space="preserve">PRESUPUESTO TOTAL</t>
  </si>
  <si>
    <t xml:space="preserve">Comparación con construir de cero (P5)</t>
  </si>
  <si>
    <t xml:space="preserve">Diferencia</t>
  </si>
  <si>
    <t xml:space="preserve">Diferencia %</t>
  </si>
  <si>
    <t xml:space="preserve">Costo por punto de función</t>
  </si>
  <si>
    <t xml:space="preserve">Distribución del costo de personal por milestone (proporcional a semanas-tarea)</t>
  </si>
  <si>
    <t xml:space="preserve">Milestone</t>
  </si>
  <si>
    <t xml:space="preserve">Semanas-tarea</t>
  </si>
  <si>
    <t xml:space="preserve">% del trabajo</t>
  </si>
  <si>
    <t xml:space="preserve">Costo de personal asignado</t>
  </si>
  <si>
    <t xml:space="preserve">M1 · Inicio y requerimientos</t>
  </si>
  <si>
    <t xml:space="preserve">M2 · Seguridad y base de datos</t>
  </si>
  <si>
    <t xml:space="preserve">M3 · Desarrollo del núcleo</t>
  </si>
  <si>
    <t xml:space="preserve">M4 · Módulos nuevos e integración</t>
  </si>
  <si>
    <t xml:space="preserve">M5 · Pruebas y calidad</t>
  </si>
  <si>
    <t xml:space="preserve">M6 · Implantación y cierre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</si>
</sst>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\$#,##0"/>
    <numFmt numFmtId="167" formatCode="#,##0"/>
    <numFmt numFmtId="168" formatCode="0.0"/>
    <numFmt numFmtId="169" formatCode="0.00"/>
    <numFmt numFmtId="170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2" t="s">
        <v>5</v>
      </c>
      <c r="B4" s="4" t="n">
        <v>459</v>
      </c>
      <c r="C4" s="2" t="s">
        <v>6</v>
      </c>
      <c r="D4" s="2" t="s">
        <v>7</v>
      </c>
    </row>
    <row r="5" customFormat="false" ht="15" hidden="false" customHeight="false" outlineLevel="0" collapsed="false">
      <c r="A5" s="2" t="s">
        <v>8</v>
      </c>
      <c r="B5" s="4" t="n">
        <v>8.3</v>
      </c>
      <c r="C5" s="2" t="s">
        <v>9</v>
      </c>
      <c r="D5" s="2" t="s">
        <v>10</v>
      </c>
    </row>
    <row r="6" customFormat="false" ht="15" hidden="false" customHeight="false" outlineLevel="0" collapsed="false">
      <c r="A6" s="2" t="s">
        <v>11</v>
      </c>
      <c r="B6" s="5" t="n">
        <v>0.2</v>
      </c>
      <c r="C6" s="2" t="s">
        <v>12</v>
      </c>
      <c r="D6" s="2" t="s">
        <v>13</v>
      </c>
    </row>
    <row r="7" customFormat="false" ht="15" hidden="false" customHeight="false" outlineLevel="0" collapsed="false">
      <c r="A7" s="2" t="s">
        <v>14</v>
      </c>
      <c r="B7" s="4" t="n">
        <v>160</v>
      </c>
      <c r="C7" s="2" t="s">
        <v>15</v>
      </c>
      <c r="D7" s="2" t="s">
        <v>16</v>
      </c>
    </row>
    <row r="8" customFormat="false" ht="15" hidden="false" customHeight="false" outlineLevel="0" collapsed="false">
      <c r="A8" s="2" t="s">
        <v>17</v>
      </c>
      <c r="B8" s="6" t="n">
        <v>21236</v>
      </c>
      <c r="C8" s="2" t="s">
        <v>18</v>
      </c>
      <c r="D8" s="2" t="s">
        <v>19</v>
      </c>
    </row>
    <row r="9" customFormat="false" ht="15" hidden="false" customHeight="false" outlineLevel="0" collapsed="false">
      <c r="A9" s="2" t="s">
        <v>20</v>
      </c>
      <c r="B9" s="6" t="n">
        <v>13417</v>
      </c>
      <c r="C9" s="2" t="s">
        <v>18</v>
      </c>
      <c r="D9" s="2" t="s">
        <v>21</v>
      </c>
    </row>
    <row r="10" customFormat="false" ht="15" hidden="false" customHeight="false" outlineLevel="0" collapsed="false">
      <c r="A10" s="2" t="s">
        <v>22</v>
      </c>
      <c r="B10" s="4" t="n">
        <v>2</v>
      </c>
      <c r="C10" s="2" t="s">
        <v>23</v>
      </c>
      <c r="D10" s="2" t="s">
        <v>24</v>
      </c>
    </row>
    <row r="11" customFormat="false" ht="15" hidden="false" customHeight="false" outlineLevel="0" collapsed="false">
      <c r="A11" s="2" t="s">
        <v>25</v>
      </c>
      <c r="B11" s="4" t="n">
        <v>6.45</v>
      </c>
      <c r="C11" s="2" t="s">
        <v>26</v>
      </c>
      <c r="D11" s="2" t="s">
        <v>27</v>
      </c>
    </row>
    <row r="12" customFormat="false" ht="15" hidden="false" customHeight="false" outlineLevel="0" collapsed="false">
      <c r="A12" s="2" t="s">
        <v>28</v>
      </c>
      <c r="B12" s="5" t="n">
        <v>0.25</v>
      </c>
      <c r="C12" s="2" t="s">
        <v>12</v>
      </c>
      <c r="D12" s="2" t="s">
        <v>29</v>
      </c>
    </row>
    <row r="13" customFormat="false" ht="15" hidden="false" customHeight="false" outlineLevel="0" collapsed="false">
      <c r="A13" s="2" t="s">
        <v>30</v>
      </c>
      <c r="B13" s="5" t="n">
        <v>0.15</v>
      </c>
      <c r="C13" s="2" t="s">
        <v>12</v>
      </c>
      <c r="D13" s="2" t="s">
        <v>31</v>
      </c>
    </row>
    <row r="14" customFormat="false" ht="15" hidden="false" customHeight="false" outlineLevel="0" collapsed="false">
      <c r="A14" s="2" t="s">
        <v>32</v>
      </c>
      <c r="B14" s="6" t="n">
        <v>394000</v>
      </c>
      <c r="C14" s="2" t="s">
        <v>33</v>
      </c>
      <c r="D14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45"/>
  </cols>
  <sheetData>
    <row r="1" customFormat="false" ht="16.15" hidden="false" customHeight="false" outlineLevel="0" collapsed="false">
      <c r="A1" s="1" t="s">
        <v>35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6</v>
      </c>
      <c r="F3" s="3" t="s">
        <v>40</v>
      </c>
    </row>
    <row r="4" customFormat="false" ht="15" hidden="false" customHeight="false" outlineLevel="0" collapsed="false">
      <c r="A4" s="2" t="s">
        <v>41</v>
      </c>
      <c r="B4" s="2" t="s">
        <v>42</v>
      </c>
      <c r="C4" s="7" t="n">
        <v>1</v>
      </c>
      <c r="D4" s="2" t="n">
        <f aca="false">Supuestos!B4</f>
        <v>459</v>
      </c>
      <c r="E4" s="2" t="n">
        <f aca="false">C4*D4</f>
        <v>459</v>
      </c>
      <c r="F4" s="2" t="s">
        <v>43</v>
      </c>
    </row>
    <row r="5" customFormat="false" ht="15" hidden="false" customHeight="false" outlineLevel="0" collapsed="false">
      <c r="A5" s="2" t="s">
        <v>44</v>
      </c>
      <c r="B5" s="2" t="s">
        <v>45</v>
      </c>
      <c r="C5" s="7" t="n">
        <v>-3</v>
      </c>
      <c r="D5" s="2" t="n">
        <v>10</v>
      </c>
      <c r="E5" s="2" t="n">
        <f aca="false">C5*D5</f>
        <v>-30</v>
      </c>
      <c r="F5" s="2" t="s">
        <v>46</v>
      </c>
    </row>
    <row r="6" customFormat="false" ht="15" hidden="false" customHeight="false" outlineLevel="0" collapsed="false">
      <c r="A6" s="2" t="s">
        <v>47</v>
      </c>
      <c r="B6" s="2" t="s">
        <v>48</v>
      </c>
      <c r="C6" s="7" t="n">
        <v>-1</v>
      </c>
      <c r="D6" s="2" t="n">
        <v>5</v>
      </c>
      <c r="E6" s="2" t="n">
        <f aca="false">C6*D6</f>
        <v>-5</v>
      </c>
      <c r="F6" s="2"/>
    </row>
    <row r="7" customFormat="false" ht="15" hidden="false" customHeight="false" outlineLevel="0" collapsed="false">
      <c r="A7" s="2" t="s">
        <v>49</v>
      </c>
      <c r="B7" s="2" t="s">
        <v>50</v>
      </c>
      <c r="C7" s="7" t="n">
        <v>-1</v>
      </c>
      <c r="D7" s="2" t="n">
        <v>4</v>
      </c>
      <c r="E7" s="2" t="n">
        <f aca="false">C7*D7</f>
        <v>-4</v>
      </c>
      <c r="F7" s="2"/>
    </row>
    <row r="8" customFormat="false" ht="15" hidden="false" customHeight="false" outlineLevel="0" collapsed="false">
      <c r="A8" s="2" t="s">
        <v>51</v>
      </c>
      <c r="B8" s="2" t="s">
        <v>52</v>
      </c>
      <c r="C8" s="7" t="n">
        <v>6</v>
      </c>
      <c r="D8" s="2" t="n">
        <v>4</v>
      </c>
      <c r="E8" s="2" t="n">
        <f aca="false">C8*D8</f>
        <v>24</v>
      </c>
      <c r="F8" s="2" t="s">
        <v>53</v>
      </c>
    </row>
    <row r="9" customFormat="false" ht="15" hidden="false" customHeight="false" outlineLevel="0" collapsed="false">
      <c r="A9" s="2" t="s">
        <v>54</v>
      </c>
      <c r="B9" s="2" t="s">
        <v>48</v>
      </c>
      <c r="C9" s="7" t="n">
        <v>2</v>
      </c>
      <c r="D9" s="2" t="n">
        <v>5</v>
      </c>
      <c r="E9" s="2" t="n">
        <f aca="false">C9*D9</f>
        <v>10</v>
      </c>
      <c r="F9" s="2"/>
    </row>
    <row r="10" customFormat="false" ht="15" hidden="false" customHeight="false" outlineLevel="0" collapsed="false">
      <c r="A10" s="2" t="s">
        <v>55</v>
      </c>
      <c r="B10" s="2" t="s">
        <v>50</v>
      </c>
      <c r="C10" s="7" t="n">
        <v>2</v>
      </c>
      <c r="D10" s="2" t="n">
        <v>4</v>
      </c>
      <c r="E10" s="2" t="n">
        <f aca="false">C10*D10</f>
        <v>8</v>
      </c>
      <c r="F10" s="2"/>
    </row>
    <row r="11" customFormat="false" ht="15" hidden="false" customHeight="false" outlineLevel="0" collapsed="false">
      <c r="A11" s="2" t="s">
        <v>56</v>
      </c>
      <c r="B11" s="2" t="s">
        <v>45</v>
      </c>
      <c r="C11" s="7" t="n">
        <v>4</v>
      </c>
      <c r="D11" s="2" t="n">
        <v>10</v>
      </c>
      <c r="E11" s="2" t="n">
        <f aca="false">C11*D11</f>
        <v>40</v>
      </c>
      <c r="F11" s="2"/>
    </row>
    <row r="12" customFormat="false" ht="15" hidden="false" customHeight="false" outlineLevel="0" collapsed="false">
      <c r="A12" s="8" t="s">
        <v>57</v>
      </c>
      <c r="B12" s="2"/>
      <c r="C12" s="2"/>
      <c r="D12" s="2"/>
      <c r="E12" s="8" t="n">
        <f aca="false">SUM(E4:E11)</f>
        <v>502</v>
      </c>
      <c r="F12" s="2"/>
    </row>
    <row r="13" customFormat="false" ht="15" hidden="false" customHeight="false" outlineLevel="0" collapsed="false">
      <c r="A13" s="2" t="s">
        <v>58</v>
      </c>
      <c r="B13" s="2"/>
      <c r="C13" s="2"/>
      <c r="D13" s="2"/>
      <c r="E13" s="9" t="n">
        <f aca="false">E12*Supuestos!B5</f>
        <v>4166.6</v>
      </c>
      <c r="F13" s="2"/>
    </row>
    <row r="14" customFormat="false" ht="15" hidden="false" customHeight="false" outlineLevel="0" collapsed="false">
      <c r="A14" s="2" t="s">
        <v>59</v>
      </c>
      <c r="B14" s="2"/>
      <c r="C14" s="2"/>
      <c r="D14" s="2"/>
      <c r="E14" s="9" t="n">
        <f aca="false">E13*(1-Supuestos!B6)</f>
        <v>3333.28</v>
      </c>
      <c r="F14" s="2"/>
    </row>
    <row r="15" customFormat="false" ht="15" hidden="false" customHeight="false" outlineLevel="0" collapsed="false">
      <c r="A15" s="8" t="s">
        <v>60</v>
      </c>
      <c r="B15" s="2"/>
      <c r="C15" s="2"/>
      <c r="D15" s="2"/>
      <c r="E15" s="10" t="n">
        <f aca="false">E14/Supuestos!B7</f>
        <v>20.833</v>
      </c>
      <c r="F15" s="2"/>
    </row>
    <row r="16" customFormat="false" ht="15" hidden="false" customHeight="false" outlineLevel="0" collapsed="false">
      <c r="A16" s="2" t="s">
        <v>61</v>
      </c>
      <c r="B16" s="2"/>
      <c r="C16" s="2"/>
      <c r="D16" s="2"/>
      <c r="E16" s="10" t="n">
        <f aca="false">(1+Supuestos!B10)*Supuestos!B11</f>
        <v>19.35</v>
      </c>
      <c r="F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4"/>
    <col collapsed="false" customWidth="true" hidden="false" outlineLevel="0" max="6" min="6" style="0" width="55"/>
  </cols>
  <sheetData>
    <row r="1" customFormat="false" ht="16.15" hidden="false" customHeight="false" outlineLevel="0" collapsed="false">
      <c r="A1" s="1" t="s">
        <v>62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36</v>
      </c>
      <c r="B3" s="3" t="s">
        <v>38</v>
      </c>
      <c r="C3" s="3" t="s">
        <v>3</v>
      </c>
      <c r="D3" s="3" t="s">
        <v>63</v>
      </c>
      <c r="E3" s="3" t="s">
        <v>64</v>
      </c>
      <c r="F3" s="3" t="s">
        <v>65</v>
      </c>
    </row>
    <row r="4" customFormat="false" ht="15" hidden="false" customHeight="false" outlineLevel="0" collapsed="false">
      <c r="A4" s="2" t="s">
        <v>66</v>
      </c>
      <c r="B4" s="11" t="n">
        <f aca="false">Supuestos!B11</f>
        <v>6.45</v>
      </c>
      <c r="C4" s="2" t="s">
        <v>26</v>
      </c>
      <c r="D4" s="12" t="n">
        <f aca="false">Supuestos!B8</f>
        <v>21236</v>
      </c>
      <c r="E4" s="12" t="n">
        <f aca="false">B4*D4</f>
        <v>136972.2</v>
      </c>
      <c r="F4" s="2" t="s">
        <v>67</v>
      </c>
    </row>
    <row r="5" customFormat="false" ht="15" hidden="false" customHeight="false" outlineLevel="0" collapsed="false">
      <c r="A5" s="2" t="s">
        <v>68</v>
      </c>
      <c r="B5" s="11" t="n">
        <f aca="false">Supuestos!B10*Supuestos!B11</f>
        <v>12.9</v>
      </c>
      <c r="C5" s="2" t="s">
        <v>69</v>
      </c>
      <c r="D5" s="12" t="n">
        <f aca="false">Supuestos!B9</f>
        <v>13417</v>
      </c>
      <c r="E5" s="12" t="n">
        <f aca="false">B5*D5</f>
        <v>173079.3</v>
      </c>
      <c r="F5" s="2"/>
    </row>
    <row r="6" customFormat="false" ht="15" hidden="false" customHeight="false" outlineLevel="0" collapsed="false">
      <c r="A6" s="2" t="s">
        <v>70</v>
      </c>
      <c r="B6" s="13" t="n">
        <v>12</v>
      </c>
      <c r="C6" s="2" t="s">
        <v>26</v>
      </c>
      <c r="D6" s="14" t="n">
        <v>1000</v>
      </c>
      <c r="E6" s="12" t="n">
        <f aca="false">B6*D6</f>
        <v>12000</v>
      </c>
      <c r="F6" s="2" t="s">
        <v>71</v>
      </c>
    </row>
    <row r="7" customFormat="false" ht="15" hidden="false" customHeight="false" outlineLevel="0" collapsed="false">
      <c r="A7" s="2" t="s">
        <v>72</v>
      </c>
      <c r="B7" s="13" t="n">
        <v>1</v>
      </c>
      <c r="C7" s="2" t="s">
        <v>73</v>
      </c>
      <c r="D7" s="14" t="n">
        <v>10000</v>
      </c>
      <c r="E7" s="12" t="n">
        <f aca="false">B7*D7</f>
        <v>10000</v>
      </c>
      <c r="F7" s="2" t="s">
        <v>71</v>
      </c>
    </row>
    <row r="8" customFormat="false" ht="15" hidden="false" customHeight="false" outlineLevel="0" collapsed="false">
      <c r="A8" s="2" t="s">
        <v>74</v>
      </c>
      <c r="B8" s="13" t="n">
        <v>1</v>
      </c>
      <c r="C8" s="2" t="s">
        <v>73</v>
      </c>
      <c r="D8" s="14" t="n">
        <v>6000</v>
      </c>
      <c r="E8" s="12" t="n">
        <f aca="false">B8*D8</f>
        <v>6000</v>
      </c>
      <c r="F8" s="2"/>
    </row>
    <row r="9" customFormat="false" ht="15" hidden="false" customHeight="false" outlineLevel="0" collapsed="false">
      <c r="A9" s="2" t="s">
        <v>75</v>
      </c>
      <c r="B9" s="13" t="n">
        <v>0</v>
      </c>
      <c r="C9" s="2" t="s">
        <v>42</v>
      </c>
      <c r="D9" s="14" t="n">
        <v>0</v>
      </c>
      <c r="E9" s="12" t="n">
        <f aca="false">B9*D9</f>
        <v>0</v>
      </c>
      <c r="F9" s="2" t="s">
        <v>76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 t="s">
        <v>77</v>
      </c>
      <c r="B11" s="12" t="n">
        <f aca="false">E4+E5</f>
        <v>310051.5</v>
      </c>
      <c r="C11" s="2"/>
      <c r="D11" s="2"/>
      <c r="E11" s="2"/>
      <c r="F11" s="2"/>
    </row>
    <row r="12" customFormat="false" ht="15" hidden="false" customHeight="false" outlineLevel="0" collapsed="false">
      <c r="A12" s="2" t="s">
        <v>78</v>
      </c>
      <c r="B12" s="12" t="n">
        <f aca="false">B11*Supuestos!B12</f>
        <v>77512.875</v>
      </c>
      <c r="C12" s="2"/>
      <c r="D12" s="2"/>
      <c r="E12" s="2"/>
      <c r="F12" s="2"/>
    </row>
    <row r="13" customFormat="false" ht="15" hidden="false" customHeight="false" outlineLevel="0" collapsed="false">
      <c r="A13" s="2" t="s">
        <v>79</v>
      </c>
      <c r="B13" s="12" t="n">
        <f aca="false">SUM(E6:E9)</f>
        <v>28000</v>
      </c>
      <c r="C13" s="2"/>
      <c r="D13" s="2"/>
      <c r="E13" s="2"/>
      <c r="F13" s="2"/>
    </row>
    <row r="14" customFormat="false" ht="15" hidden="false" customHeight="false" outlineLevel="0" collapsed="false">
      <c r="A14" s="2" t="s">
        <v>64</v>
      </c>
      <c r="B14" s="12" t="n">
        <f aca="false">B11+B12+B13</f>
        <v>415564.375</v>
      </c>
      <c r="C14" s="2"/>
      <c r="D14" s="2"/>
      <c r="E14" s="2"/>
      <c r="F14" s="2"/>
    </row>
    <row r="15" customFormat="false" ht="15" hidden="false" customHeight="false" outlineLevel="0" collapsed="false">
      <c r="A15" s="2" t="s">
        <v>80</v>
      </c>
      <c r="B15" s="12" t="n">
        <f aca="false">B14*Supuestos!B13</f>
        <v>62334.65625</v>
      </c>
      <c r="C15" s="2"/>
      <c r="D15" s="2"/>
      <c r="E15" s="2"/>
      <c r="F15" s="2"/>
    </row>
    <row r="16" customFormat="false" ht="15" hidden="false" customHeight="false" outlineLevel="0" collapsed="false">
      <c r="A16" s="8" t="s">
        <v>81</v>
      </c>
      <c r="B16" s="15" t="n">
        <f aca="false">B14+B15</f>
        <v>477899.03125</v>
      </c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2" t="s">
        <v>82</v>
      </c>
      <c r="B18" s="12" t="n">
        <f aca="false">Supuestos!B14</f>
        <v>394000</v>
      </c>
      <c r="C18" s="2"/>
      <c r="D18" s="2"/>
      <c r="E18" s="2"/>
      <c r="F18" s="2"/>
    </row>
    <row r="19" customFormat="false" ht="15" hidden="false" customHeight="false" outlineLevel="0" collapsed="false">
      <c r="A19" s="2" t="s">
        <v>83</v>
      </c>
      <c r="B19" s="12" t="n">
        <f aca="false">B16-B18</f>
        <v>83899.03125</v>
      </c>
      <c r="C19" s="2"/>
      <c r="D19" s="2"/>
      <c r="E19" s="2"/>
      <c r="F19" s="2"/>
    </row>
    <row r="20" customFormat="false" ht="15" hidden="false" customHeight="false" outlineLevel="0" collapsed="false">
      <c r="A20" s="2" t="s">
        <v>84</v>
      </c>
      <c r="B20" s="16" t="n">
        <f aca="false">B19/B18</f>
        <v>0.212941703680203</v>
      </c>
      <c r="C20" s="2"/>
      <c r="D20" s="2"/>
      <c r="E20" s="2"/>
      <c r="F20" s="2"/>
    </row>
    <row r="21" customFormat="false" ht="15" hidden="false" customHeight="false" outlineLevel="0" collapsed="false">
      <c r="A21" s="2" t="s">
        <v>85</v>
      </c>
      <c r="B21" s="12" t="n">
        <f aca="false">B16/PF_Ajustados!E12</f>
        <v>951.990102091634</v>
      </c>
      <c r="C21" s="2"/>
      <c r="D21" s="2"/>
      <c r="E21" s="2"/>
      <c r="F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8" t="s">
        <v>86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87</v>
      </c>
      <c r="B3" s="3" t="s">
        <v>88</v>
      </c>
      <c r="C3" s="3" t="s">
        <v>89</v>
      </c>
      <c r="D3" s="3" t="s">
        <v>90</v>
      </c>
    </row>
    <row r="4" customFormat="false" ht="15" hidden="false" customHeight="false" outlineLevel="0" collapsed="false">
      <c r="A4" s="2" t="s">
        <v>91</v>
      </c>
      <c r="B4" s="2" t="n">
        <v>6</v>
      </c>
      <c r="C4" s="16" t="n">
        <f aca="false">B4/SUM($B$4:$B$9)</f>
        <v>0.142857142857143</v>
      </c>
      <c r="D4" s="12" t="n">
        <f aca="false">C4*Presupuesto!$B$11</f>
        <v>44293.0714285714</v>
      </c>
    </row>
    <row r="5" customFormat="false" ht="15" hidden="false" customHeight="false" outlineLevel="0" collapsed="false">
      <c r="A5" s="2" t="s">
        <v>92</v>
      </c>
      <c r="B5" s="2" t="n">
        <v>6</v>
      </c>
      <c r="C5" s="16" t="n">
        <f aca="false">B5/SUM($B$4:$B$9)</f>
        <v>0.142857142857143</v>
      </c>
      <c r="D5" s="12" t="n">
        <f aca="false">C5*Presupuesto!$B$11</f>
        <v>44293.0714285714</v>
      </c>
    </row>
    <row r="6" customFormat="false" ht="15" hidden="false" customHeight="false" outlineLevel="0" collapsed="false">
      <c r="A6" s="2" t="s">
        <v>93</v>
      </c>
      <c r="B6" s="2" t="n">
        <v>12</v>
      </c>
      <c r="C6" s="16" t="n">
        <f aca="false">B6/SUM($B$4:$B$9)</f>
        <v>0.285714285714286</v>
      </c>
      <c r="D6" s="12" t="n">
        <f aca="false">C6*Presupuesto!$B$11</f>
        <v>88586.1428571429</v>
      </c>
    </row>
    <row r="7" customFormat="false" ht="15" hidden="false" customHeight="false" outlineLevel="0" collapsed="false">
      <c r="A7" s="2" t="s">
        <v>94</v>
      </c>
      <c r="B7" s="2" t="n">
        <v>8</v>
      </c>
      <c r="C7" s="16" t="n">
        <f aca="false">B7/SUM($B$4:$B$9)</f>
        <v>0.19047619047619</v>
      </c>
      <c r="D7" s="12" t="n">
        <f aca="false">C7*Presupuesto!$B$11</f>
        <v>59057.4285714286</v>
      </c>
    </row>
    <row r="8" customFormat="false" ht="15" hidden="false" customHeight="false" outlineLevel="0" collapsed="false">
      <c r="A8" s="2" t="s">
        <v>95</v>
      </c>
      <c r="B8" s="2" t="n">
        <v>5</v>
      </c>
      <c r="C8" s="16" t="n">
        <f aca="false">B8/SUM($B$4:$B$9)</f>
        <v>0.119047619047619</v>
      </c>
      <c r="D8" s="12" t="n">
        <f aca="false">C8*Presupuesto!$B$11</f>
        <v>36910.8928571429</v>
      </c>
    </row>
    <row r="9" customFormat="false" ht="15" hidden="false" customHeight="false" outlineLevel="0" collapsed="false">
      <c r="A9" s="2" t="s">
        <v>96</v>
      </c>
      <c r="B9" s="2" t="n">
        <v>5</v>
      </c>
      <c r="C9" s="16" t="n">
        <f aca="false">B9/SUM($B$4:$B$9)</f>
        <v>0.119047619047619</v>
      </c>
      <c r="D9" s="12" t="n">
        <f aca="false">C9*Presupuesto!$B$11</f>
        <v>36910.8928571429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2026-09-27T19:38:40Z</dcterms:created>
  <dc:creator>openpyxl</dc:creator>
  <dc:description/>
  <dc:language>en-US</dc:language>
  <cp:lastModifiedBy/>
  <dcterms:modified xsi:type="dcterms:W3CDTF">2026-09-27T19:38:40Z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