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<sst xmlns="http://schemas.openxmlformats.org/spreadsheetml/2006/main" count="121" uniqueCount="83">
  <si>
    <t xml:space="preserve">Cronograma - Reingeniería del Sistema de Control Escolar</t>
  </si>
  <si>
    <t xml:space="preserve">Fecha de inicio</t>
  </si>
  <si>
    <t xml:space="preserve">ES/EF/LS/LF en días calendario calculados con el método de la ruta crítica (CPM, pase adelante y atrás). Fin = último día de la tarea.</t>
  </si>
  <si>
    <t xml:space="preserve">ID</t>
  </si>
  <si>
    <t xml:space="preserve">Tarea</t>
  </si>
  <si>
    <t xml:space="preserve">Milestone</t>
  </si>
  <si>
    <t xml:space="preserve">Duración (días)</t>
  </si>
  <si>
    <t xml:space="preserve">Predecesoras</t>
  </si>
  <si>
    <t xml:space="preserve">ES</t>
  </si>
  <si>
    <t xml:space="preserve">EF</t>
  </si>
  <si>
    <t xml:space="preserve">LS</t>
  </si>
  <si>
    <t xml:space="preserve">LF</t>
  </si>
  <si>
    <t xml:space="preserve">Holgura</t>
  </si>
  <si>
    <t xml:space="preserve">¿Crítica?</t>
  </si>
  <si>
    <t xml:space="preserve">Inicio</t>
  </si>
  <si>
    <t xml:space="preserve">Fin</t>
  </si>
  <si>
    <t xml:space="preserve">1.1</t>
  </si>
  <si>
    <t xml:space="preserve">Acta de constitución y plan del proyecto</t>
  </si>
  <si>
    <t xml:space="preserve">M1 · Inicio y requerimientos</t>
  </si>
  <si>
    <t xml:space="preserve">—</t>
  </si>
  <si>
    <t xml:space="preserve">2.1</t>
  </si>
  <si>
    <t xml:space="preserve">Validar requerimientos con Vinculación y Control Escolar</t>
  </si>
  <si>
    <t xml:space="preserve">2.2</t>
  </si>
  <si>
    <t xml:space="preserve">Especificar módulos nuevos (anteproyecto, asignación de asesores)</t>
  </si>
  <si>
    <t xml:space="preserve">2.3</t>
  </si>
  <si>
    <t xml:space="preserve">Obtener autorización/licencia del autor</t>
  </si>
  <si>
    <t xml:space="preserve">3.1</t>
  </si>
  <si>
    <t xml:space="preserve">Retirar datos personales y secretos del repositorio</t>
  </si>
  <si>
    <t xml:space="preserve">M2 · Seguridad y base de datos</t>
  </si>
  <si>
    <t xml:space="preserve">3.2</t>
  </si>
  <si>
    <t xml:space="preserve">Aviso de privacidad y procedimiento ARCO</t>
  </si>
  <si>
    <t xml:space="preserve">4.1</t>
  </si>
  <si>
    <t xml:space="preserve">Rediseño del modelo de datos (FK, tipos, nombres)</t>
  </si>
  <si>
    <t xml:space="preserve">4.2</t>
  </si>
  <si>
    <t xml:space="preserve">Scripts de migración de datos</t>
  </si>
  <si>
    <t xml:space="preserve">5.1</t>
  </si>
  <si>
    <t xml:space="preserve">Proyecto Laravel: autenticación, roles y contraseñas con hash</t>
  </si>
  <si>
    <t xml:space="preserve">M3 · Desarrollo del núcleo</t>
  </si>
  <si>
    <t xml:space="preserve">4.1, 3.1</t>
  </si>
  <si>
    <t xml:space="preserve">5.2</t>
  </si>
  <si>
    <t xml:space="preserve">Módulo de usuarios y carreras</t>
  </si>
  <si>
    <t xml:space="preserve">5.3</t>
  </si>
  <si>
    <t xml:space="preserve">Catálogo de empresas y horarios</t>
  </si>
  <si>
    <t xml:space="preserve">5.4</t>
  </si>
  <si>
    <t xml:space="preserve">Solicitud de residencia y carta de presentación</t>
  </si>
  <si>
    <t xml:space="preserve">5.5</t>
  </si>
  <si>
    <t xml:space="preserve">Expediente, documentos privados y reportes parciales</t>
  </si>
  <si>
    <t xml:space="preserve">5.6</t>
  </si>
  <si>
    <t xml:space="preserve">Evaluación de reportes, visitas y observaciones</t>
  </si>
  <si>
    <t xml:space="preserve">M4 · Módulos nuevos e integración</t>
  </si>
  <si>
    <t xml:space="preserve">5.7</t>
  </si>
  <si>
    <t xml:space="preserve">Constancias PDF y notificaciones por correo</t>
  </si>
  <si>
    <t xml:space="preserve">5.8</t>
  </si>
  <si>
    <t xml:space="preserve">Anteproyecto y asignación de asesores (nuevos)</t>
  </si>
  <si>
    <t xml:space="preserve">5.9</t>
  </si>
  <si>
    <t xml:space="preserve">Importar/exportar Excel con PhpSpreadsheet</t>
  </si>
  <si>
    <t xml:space="preserve">6.1</t>
  </si>
  <si>
    <t xml:space="preserve">Pruebas automatizadas (PHPUnit) de módulos críticos</t>
  </si>
  <si>
    <t xml:space="preserve">M5 · Pruebas y calidad</t>
  </si>
  <si>
    <t xml:space="preserve">5.7, 5.8, 5.9</t>
  </si>
  <si>
    <t xml:space="preserve">6.2</t>
  </si>
  <si>
    <t xml:space="preserve">Auditoría de seguridad (OWASP Top 10)</t>
  </si>
  <si>
    <t xml:space="preserve">6.3</t>
  </si>
  <si>
    <t xml:space="preserve">Pruebas de aceptación con usuarios</t>
  </si>
  <si>
    <t xml:space="preserve">6.1, 6.2, 4.2</t>
  </si>
  <si>
    <t xml:space="preserve">7.1</t>
  </si>
  <si>
    <t xml:space="preserve">Documentación: README, manual técnico y de usuario</t>
  </si>
  <si>
    <t xml:space="preserve">M6 · Implantación y cierre</t>
  </si>
  <si>
    <t xml:space="preserve">7.2</t>
  </si>
  <si>
    <t xml:space="preserve">Migración de datos a producción</t>
  </si>
  <si>
    <t xml:space="preserve">6.3, 3.2</t>
  </si>
  <si>
    <t xml:space="preserve">7.3</t>
  </si>
  <si>
    <t xml:space="preserve">Capacitación a usuarios</t>
  </si>
  <si>
    <t xml:space="preserve">7.4</t>
  </si>
  <si>
    <t xml:space="preserve">HITO: Puesta en producción</t>
  </si>
  <si>
    <t xml:space="preserve">7.3, 7.1</t>
  </si>
  <si>
    <t xml:space="preserve">1.2</t>
  </si>
  <si>
    <t xml:space="preserve">Cierre del proyecto y lecciones aprendidas</t>
  </si>
  <si>
    <t xml:space="preserve">Duración total (días)</t>
  </si>
  <si>
    <t xml:space="preserve">Fin del proyecto</t>
  </si>
  <si>
    <t xml:space="preserve">Tareas críticas</t>
  </si>
  <si>
    <t xml:space="preserve">Duración total (semanas)</t>
  </si>
  <si>
    <t xml:space="preserve">Nota: las duraciones originales (semanas) se reescalaron a días para ajustar el proyecto a 13 semanas (22/09/2026 – 18/12/2026). Hitos: M1 02/10, M2 16/10, M3 06/11, M4 20/11, M5 04/12, M6 18/12/2026.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</si>
</sst>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9" min="6" style="1" width="5"/>
    <col collapsed="false" customWidth="true" hidden="false" outlineLevel="0" max="10" min="10" style="1" width="8"/>
    <col collapsed="false" customWidth="true" hidden="false" outlineLevel="0" max="11" min="11" style="1" width="9"/>
    <col collapsed="false" customWidth="true" hidden="false" outlineLevel="0" max="13" min="12" style="1" width="11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" t="s">
        <v>1</v>
      </c>
      <c r="B2" s="4" t="n">
        <v>46287</v>
      </c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6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customFormat="false" ht="15" hidden="false" customHeight="true" outlineLevel="0" collapsed="false">
      <c r="A5" s="3" t="s">
        <v>16</v>
      </c>
      <c r="B5" s="3" t="s">
        <v>17</v>
      </c>
      <c r="C5" s="3" t="s">
        <v>18</v>
      </c>
      <c r="D5" s="6" t="n">
        <v>3</v>
      </c>
      <c r="E5" s="3" t="s">
        <v>19</v>
      </c>
      <c r="F5" s="3" t="n">
        <v>0</v>
      </c>
      <c r="G5" s="3" t="n">
        <v>3</v>
      </c>
      <c r="H5" s="3" t="n">
        <v>0</v>
      </c>
      <c r="I5" s="3" t="n">
        <v>3</v>
      </c>
      <c r="J5" s="3" t="n">
        <f aca="false">H5-F5</f>
        <v>0</v>
      </c>
      <c r="K5" s="3" t="str">
        <f aca="false">IF(J5=0,"SÍ","no")</f>
        <v>SÍ</v>
      </c>
      <c r="L5" s="7" t="n">
        <f aca="false">$B$2+F5</f>
        <v>46287</v>
      </c>
      <c r="M5" s="7" t="n">
        <f aca="false">IF(D5=0,L5,$B$2+G5-1)</f>
        <v>46289</v>
      </c>
    </row>
    <row r="6" customFormat="false" ht="15" hidden="false" customHeight="true" outlineLevel="0" collapsed="false">
      <c r="A6" s="3" t="s">
        <v>20</v>
      </c>
      <c r="B6" s="3" t="s">
        <v>21</v>
      </c>
      <c r="C6" s="3" t="s">
        <v>18</v>
      </c>
      <c r="D6" s="6" t="n">
        <v>5</v>
      </c>
      <c r="E6" s="3" t="s">
        <v>16</v>
      </c>
      <c r="F6" s="3" t="n">
        <v>3</v>
      </c>
      <c r="G6" s="3" t="n">
        <v>8</v>
      </c>
      <c r="H6" s="3" t="n">
        <v>3</v>
      </c>
      <c r="I6" s="3" t="n">
        <v>8</v>
      </c>
      <c r="J6" s="3" t="n">
        <f aca="false">H6-F6</f>
        <v>0</v>
      </c>
      <c r="K6" s="3" t="str">
        <f aca="false">IF(J6=0,"SÍ","no")</f>
        <v>SÍ</v>
      </c>
      <c r="L6" s="7" t="n">
        <f aca="false">$B$2+F6</f>
        <v>46290</v>
      </c>
      <c r="M6" s="7" t="n">
        <f aca="false">IF(D6=0,L6,$B$2+G6-1)</f>
        <v>46294</v>
      </c>
    </row>
    <row r="7" customFormat="false" ht="15" hidden="false" customHeight="true" outlineLevel="0" collapsed="false">
      <c r="A7" s="3" t="s">
        <v>22</v>
      </c>
      <c r="B7" s="3" t="s">
        <v>23</v>
      </c>
      <c r="C7" s="3" t="s">
        <v>18</v>
      </c>
      <c r="D7" s="6" t="n">
        <v>3</v>
      </c>
      <c r="E7" s="3" t="s">
        <v>20</v>
      </c>
      <c r="F7" s="3" t="n">
        <v>8</v>
      </c>
      <c r="G7" s="3" t="n">
        <v>11</v>
      </c>
      <c r="H7" s="3" t="n">
        <v>8</v>
      </c>
      <c r="I7" s="3" t="n">
        <v>11</v>
      </c>
      <c r="J7" s="3" t="n">
        <f aca="false">H7-F7</f>
        <v>0</v>
      </c>
      <c r="K7" s="3" t="str">
        <f aca="false">IF(J7=0,"SÍ","no")</f>
        <v>SÍ</v>
      </c>
      <c r="L7" s="7" t="n">
        <f aca="false">$B$2+F7</f>
        <v>46295</v>
      </c>
      <c r="M7" s="7" t="n">
        <f aca="false">IF(D7=0,L7,$B$2+G7-1)</f>
        <v>46297</v>
      </c>
    </row>
    <row r="8" customFormat="false" ht="15" hidden="false" customHeight="true" outlineLevel="0" collapsed="false">
      <c r="A8" s="3" t="s">
        <v>24</v>
      </c>
      <c r="B8" s="3" t="s">
        <v>25</v>
      </c>
      <c r="C8" s="3" t="s">
        <v>18</v>
      </c>
      <c r="D8" s="6" t="n">
        <v>5</v>
      </c>
      <c r="E8" s="3" t="s">
        <v>16</v>
      </c>
      <c r="F8" s="3" t="n">
        <v>3</v>
      </c>
      <c r="G8" s="3" t="n">
        <v>8</v>
      </c>
      <c r="H8" s="3" t="n">
        <v>12</v>
      </c>
      <c r="I8" s="3" t="n">
        <v>17</v>
      </c>
      <c r="J8" s="3" t="n">
        <f aca="false">H8-F8</f>
        <v>9</v>
      </c>
      <c r="K8" s="3" t="str">
        <f aca="false">IF(J8=0,"SÍ","no")</f>
        <v>no</v>
      </c>
      <c r="L8" s="7" t="n">
        <f aca="false">$B$2+F8</f>
        <v>46290</v>
      </c>
      <c r="M8" s="7" t="n">
        <f aca="false">IF(D8=0,L8,$B$2+G8-1)</f>
        <v>46294</v>
      </c>
    </row>
    <row r="9" customFormat="false" ht="15" hidden="false" customHeight="true" outlineLevel="0" collapsed="false">
      <c r="A9" s="3" t="s">
        <v>26</v>
      </c>
      <c r="B9" s="3" t="s">
        <v>27</v>
      </c>
      <c r="C9" s="3" t="s">
        <v>28</v>
      </c>
      <c r="D9" s="6" t="n">
        <v>3</v>
      </c>
      <c r="E9" s="3" t="s">
        <v>24</v>
      </c>
      <c r="F9" s="3" t="n">
        <v>8</v>
      </c>
      <c r="G9" s="3" t="n">
        <v>11</v>
      </c>
      <c r="H9" s="3" t="n">
        <v>17</v>
      </c>
      <c r="I9" s="3" t="n">
        <v>20</v>
      </c>
      <c r="J9" s="3" t="n">
        <f aca="false">H9-F9</f>
        <v>9</v>
      </c>
      <c r="K9" s="3" t="str">
        <f aca="false">IF(J9=0,"SÍ","no")</f>
        <v>no</v>
      </c>
      <c r="L9" s="7" t="n">
        <f aca="false">$B$2+F9</f>
        <v>46295</v>
      </c>
      <c r="M9" s="7" t="n">
        <f aca="false">IF(D9=0,L9,$B$2+G9-1)</f>
        <v>46297</v>
      </c>
    </row>
    <row r="10" customFormat="false" ht="15" hidden="false" customHeight="true" outlineLevel="0" collapsed="false">
      <c r="A10" s="3" t="s">
        <v>29</v>
      </c>
      <c r="B10" s="3" t="s">
        <v>30</v>
      </c>
      <c r="C10" s="3" t="s">
        <v>28</v>
      </c>
      <c r="D10" s="6" t="n">
        <v>6</v>
      </c>
      <c r="E10" s="3" t="s">
        <v>20</v>
      </c>
      <c r="F10" s="3" t="n">
        <v>8</v>
      </c>
      <c r="G10" s="3" t="n">
        <v>14</v>
      </c>
      <c r="H10" s="3" t="n">
        <v>68</v>
      </c>
      <c r="I10" s="3" t="n">
        <v>74</v>
      </c>
      <c r="J10" s="3" t="n">
        <f aca="false">H10-F10</f>
        <v>60</v>
      </c>
      <c r="K10" s="3" t="str">
        <f aca="false">IF(J10=0,"SÍ","no")</f>
        <v>no</v>
      </c>
      <c r="L10" s="7" t="n">
        <f aca="false">$B$2+F10</f>
        <v>46295</v>
      </c>
      <c r="M10" s="7" t="n">
        <f aca="false">IF(D10=0,L10,$B$2+G10-1)</f>
        <v>46300</v>
      </c>
    </row>
    <row r="11" customFormat="false" ht="15" hidden="false" customHeight="true" outlineLevel="0" collapsed="false">
      <c r="A11" s="3" t="s">
        <v>31</v>
      </c>
      <c r="B11" s="3" t="s">
        <v>32</v>
      </c>
      <c r="C11" s="3" t="s">
        <v>28</v>
      </c>
      <c r="D11" s="6" t="n">
        <v>9</v>
      </c>
      <c r="E11" s="3" t="s">
        <v>22</v>
      </c>
      <c r="F11" s="3" t="n">
        <v>11</v>
      </c>
      <c r="G11" s="3" t="n">
        <v>20</v>
      </c>
      <c r="H11" s="3" t="n">
        <v>11</v>
      </c>
      <c r="I11" s="3" t="n">
        <v>20</v>
      </c>
      <c r="J11" s="3" t="n">
        <f aca="false">H11-F11</f>
        <v>0</v>
      </c>
      <c r="K11" s="3" t="str">
        <f aca="false">IF(J11=0,"SÍ","no")</f>
        <v>SÍ</v>
      </c>
      <c r="L11" s="7" t="n">
        <f aca="false">$B$2+F11</f>
        <v>46298</v>
      </c>
      <c r="M11" s="7" t="n">
        <f aca="false">IF(D11=0,L11,$B$2+G11-1)</f>
        <v>46306</v>
      </c>
    </row>
    <row r="12" customFormat="false" ht="15" hidden="false" customHeight="true" outlineLevel="0" collapsed="false">
      <c r="A12" s="3" t="s">
        <v>33</v>
      </c>
      <c r="B12" s="3" t="s">
        <v>34</v>
      </c>
      <c r="C12" s="3" t="s">
        <v>28</v>
      </c>
      <c r="D12" s="6" t="n">
        <v>5</v>
      </c>
      <c r="E12" s="3" t="s">
        <v>31</v>
      </c>
      <c r="F12" s="3" t="n">
        <v>20</v>
      </c>
      <c r="G12" s="3" t="n">
        <v>25</v>
      </c>
      <c r="H12" s="3" t="n">
        <v>62</v>
      </c>
      <c r="I12" s="3" t="n">
        <v>67</v>
      </c>
      <c r="J12" s="3" t="n">
        <f aca="false">H12-F12</f>
        <v>42</v>
      </c>
      <c r="K12" s="3" t="str">
        <f aca="false">IF(J12=0,"SÍ","no")</f>
        <v>no</v>
      </c>
      <c r="L12" s="7" t="n">
        <f aca="false">$B$2+F12</f>
        <v>46307</v>
      </c>
      <c r="M12" s="7" t="n">
        <f aca="false">IF(D12=0,L12,$B$2+G12-1)</f>
        <v>46311</v>
      </c>
    </row>
    <row r="13" customFormat="false" ht="15" hidden="false" customHeight="true" outlineLevel="0" collapsed="false">
      <c r="A13" s="3" t="s">
        <v>35</v>
      </c>
      <c r="B13" s="3" t="s">
        <v>36</v>
      </c>
      <c r="C13" s="3" t="s">
        <v>37</v>
      </c>
      <c r="D13" s="6" t="n">
        <v>5</v>
      </c>
      <c r="E13" s="3" t="s">
        <v>38</v>
      </c>
      <c r="F13" s="3" t="n">
        <v>20</v>
      </c>
      <c r="G13" s="3" t="n">
        <v>25</v>
      </c>
      <c r="H13" s="3" t="n">
        <v>20</v>
      </c>
      <c r="I13" s="3" t="n">
        <v>25</v>
      </c>
      <c r="J13" s="3" t="n">
        <f aca="false">H13-F13</f>
        <v>0</v>
      </c>
      <c r="K13" s="3" t="str">
        <f aca="false">IF(J13=0,"SÍ","no")</f>
        <v>SÍ</v>
      </c>
      <c r="L13" s="7" t="n">
        <f aca="false">$B$2+F13</f>
        <v>46307</v>
      </c>
      <c r="M13" s="7" t="n">
        <f aca="false">IF(D13=0,L13,$B$2+G13-1)</f>
        <v>46311</v>
      </c>
    </row>
    <row r="14" customFormat="false" ht="15" hidden="false" customHeight="true" outlineLevel="0" collapsed="false">
      <c r="A14" s="3" t="s">
        <v>39</v>
      </c>
      <c r="B14" s="3" t="s">
        <v>40</v>
      </c>
      <c r="C14" s="3" t="s">
        <v>37</v>
      </c>
      <c r="D14" s="6" t="n">
        <v>5</v>
      </c>
      <c r="E14" s="3" t="s">
        <v>35</v>
      </c>
      <c r="F14" s="3" t="n">
        <v>25</v>
      </c>
      <c r="G14" s="3" t="n">
        <v>30</v>
      </c>
      <c r="H14" s="3" t="n">
        <v>25</v>
      </c>
      <c r="I14" s="3" t="n">
        <v>30</v>
      </c>
      <c r="J14" s="3" t="n">
        <f aca="false">H14-F14</f>
        <v>0</v>
      </c>
      <c r="K14" s="3" t="str">
        <f aca="false">IF(J14=0,"SÍ","no")</f>
        <v>SÍ</v>
      </c>
      <c r="L14" s="7" t="n">
        <f aca="false">$B$2+F14</f>
        <v>46312</v>
      </c>
      <c r="M14" s="7" t="n">
        <f aca="false">IF(D14=0,L14,$B$2+G14-1)</f>
        <v>46316</v>
      </c>
    </row>
    <row r="15" customFormat="false" ht="15" hidden="false" customHeight="true" outlineLevel="0" collapsed="false">
      <c r="A15" s="3" t="s">
        <v>41</v>
      </c>
      <c r="B15" s="3" t="s">
        <v>42</v>
      </c>
      <c r="C15" s="3" t="s">
        <v>37</v>
      </c>
      <c r="D15" s="6" t="n">
        <v>5</v>
      </c>
      <c r="E15" s="3" t="s">
        <v>39</v>
      </c>
      <c r="F15" s="3" t="n">
        <v>30</v>
      </c>
      <c r="G15" s="3" t="n">
        <v>35</v>
      </c>
      <c r="H15" s="3" t="n">
        <v>52</v>
      </c>
      <c r="I15" s="3" t="n">
        <v>57</v>
      </c>
      <c r="J15" s="3" t="n">
        <f aca="false">H15-F15</f>
        <v>22</v>
      </c>
      <c r="K15" s="3" t="str">
        <f aca="false">IF(J15=0,"SÍ","no")</f>
        <v>no</v>
      </c>
      <c r="L15" s="7" t="n">
        <f aca="false">$B$2+F15</f>
        <v>46317</v>
      </c>
      <c r="M15" s="7" t="n">
        <f aca="false">IF(D15=0,L15,$B$2+G15-1)</f>
        <v>46321</v>
      </c>
    </row>
    <row r="16" customFormat="false" ht="15" hidden="false" customHeight="true" outlineLevel="0" collapsed="false">
      <c r="A16" s="3" t="s">
        <v>43</v>
      </c>
      <c r="B16" s="3" t="s">
        <v>44</v>
      </c>
      <c r="C16" s="3" t="s">
        <v>37</v>
      </c>
      <c r="D16" s="6" t="n">
        <v>8</v>
      </c>
      <c r="E16" s="3" t="s">
        <v>39</v>
      </c>
      <c r="F16" s="3" t="n">
        <v>30</v>
      </c>
      <c r="G16" s="3" t="n">
        <v>38</v>
      </c>
      <c r="H16" s="3" t="n">
        <v>30</v>
      </c>
      <c r="I16" s="3" t="n">
        <v>38</v>
      </c>
      <c r="J16" s="3" t="n">
        <f aca="false">H16-F16</f>
        <v>0</v>
      </c>
      <c r="K16" s="3" t="str">
        <f aca="false">IF(J16=0,"SÍ","no")</f>
        <v>SÍ</v>
      </c>
      <c r="L16" s="7" t="n">
        <f aca="false">$B$2+F16</f>
        <v>46317</v>
      </c>
      <c r="M16" s="7" t="n">
        <f aca="false">IF(D16=0,L16,$B$2+G16-1)</f>
        <v>46324</v>
      </c>
    </row>
    <row r="17" customFormat="false" ht="15" hidden="false" customHeight="true" outlineLevel="0" collapsed="false">
      <c r="A17" s="3" t="s">
        <v>45</v>
      </c>
      <c r="B17" s="3" t="s">
        <v>46</v>
      </c>
      <c r="C17" s="3" t="s">
        <v>37</v>
      </c>
      <c r="D17" s="6" t="n">
        <v>8</v>
      </c>
      <c r="E17" s="3" t="s">
        <v>43</v>
      </c>
      <c r="F17" s="3" t="n">
        <v>38</v>
      </c>
      <c r="G17" s="3" t="n">
        <v>46</v>
      </c>
      <c r="H17" s="3" t="n">
        <v>38</v>
      </c>
      <c r="I17" s="3" t="n">
        <v>46</v>
      </c>
      <c r="J17" s="3" t="n">
        <f aca="false">H17-F17</f>
        <v>0</v>
      </c>
      <c r="K17" s="3" t="str">
        <f aca="false">IF(J17=0,"SÍ","no")</f>
        <v>SÍ</v>
      </c>
      <c r="L17" s="7" t="n">
        <f aca="false">$B$2+F17</f>
        <v>46325</v>
      </c>
      <c r="M17" s="7" t="n">
        <f aca="false">IF(D17=0,L17,$B$2+G17-1)</f>
        <v>46332</v>
      </c>
    </row>
    <row r="18" customFormat="false" ht="15" hidden="false" customHeight="true" outlineLevel="0" collapsed="false">
      <c r="A18" s="3" t="s">
        <v>47</v>
      </c>
      <c r="B18" s="3" t="s">
        <v>48</v>
      </c>
      <c r="C18" s="3" t="s">
        <v>49</v>
      </c>
      <c r="D18" s="6" t="n">
        <v>8</v>
      </c>
      <c r="E18" s="3" t="s">
        <v>45</v>
      </c>
      <c r="F18" s="3" t="n">
        <v>46</v>
      </c>
      <c r="G18" s="3" t="n">
        <v>54</v>
      </c>
      <c r="H18" s="3" t="n">
        <v>46</v>
      </c>
      <c r="I18" s="3" t="n">
        <v>54</v>
      </c>
      <c r="J18" s="3" t="n">
        <f aca="false">H18-F18</f>
        <v>0</v>
      </c>
      <c r="K18" s="3" t="str">
        <f aca="false">IF(J18=0,"SÍ","no")</f>
        <v>SÍ</v>
      </c>
      <c r="L18" s="7" t="n">
        <f aca="false">$B$2+F18</f>
        <v>46333</v>
      </c>
      <c r="M18" s="7" t="n">
        <f aca="false">IF(D18=0,L18,$B$2+G18-1)</f>
        <v>46340</v>
      </c>
    </row>
    <row r="19" customFormat="false" ht="15" hidden="false" customHeight="true" outlineLevel="0" collapsed="false">
      <c r="A19" s="3" t="s">
        <v>50</v>
      </c>
      <c r="B19" s="3" t="s">
        <v>51</v>
      </c>
      <c r="C19" s="3" t="s">
        <v>49</v>
      </c>
      <c r="D19" s="6" t="n">
        <v>6</v>
      </c>
      <c r="E19" s="3" t="s">
        <v>47</v>
      </c>
      <c r="F19" s="3" t="n">
        <v>54</v>
      </c>
      <c r="G19" s="3" t="n">
        <v>60</v>
      </c>
      <c r="H19" s="3" t="n">
        <v>54</v>
      </c>
      <c r="I19" s="3" t="n">
        <v>60</v>
      </c>
      <c r="J19" s="3" t="n">
        <f aca="false">H19-F19</f>
        <v>0</v>
      </c>
      <c r="K19" s="3" t="str">
        <f aca="false">IF(J19=0,"SÍ","no")</f>
        <v>SÍ</v>
      </c>
      <c r="L19" s="7" t="n">
        <f aca="false">$B$2+F19</f>
        <v>46341</v>
      </c>
      <c r="M19" s="7" t="n">
        <f aca="false">IF(D19=0,L19,$B$2+G19-1)</f>
        <v>46346</v>
      </c>
    </row>
    <row r="20" customFormat="false" ht="15" hidden="false" customHeight="true" outlineLevel="0" collapsed="false">
      <c r="A20" s="3" t="s">
        <v>52</v>
      </c>
      <c r="B20" s="3" t="s">
        <v>53</v>
      </c>
      <c r="C20" s="3" t="s">
        <v>49</v>
      </c>
      <c r="D20" s="6" t="n">
        <v>5</v>
      </c>
      <c r="E20" s="3" t="s">
        <v>43</v>
      </c>
      <c r="F20" s="3" t="n">
        <v>38</v>
      </c>
      <c r="G20" s="3" t="n">
        <v>43</v>
      </c>
      <c r="H20" s="3" t="n">
        <v>55</v>
      </c>
      <c r="I20" s="3" t="n">
        <v>60</v>
      </c>
      <c r="J20" s="3" t="n">
        <f aca="false">H20-F20</f>
        <v>17</v>
      </c>
      <c r="K20" s="3" t="str">
        <f aca="false">IF(J20=0,"SÍ","no")</f>
        <v>no</v>
      </c>
      <c r="L20" s="7" t="n">
        <f aca="false">$B$2+F20</f>
        <v>46325</v>
      </c>
      <c r="M20" s="7" t="n">
        <f aca="false">IF(D20=0,L20,$B$2+G20-1)</f>
        <v>46329</v>
      </c>
    </row>
    <row r="21" customFormat="false" ht="15" hidden="false" customHeight="true" outlineLevel="0" collapsed="false">
      <c r="A21" s="3" t="s">
        <v>54</v>
      </c>
      <c r="B21" s="3" t="s">
        <v>55</v>
      </c>
      <c r="C21" s="3" t="s">
        <v>49</v>
      </c>
      <c r="D21" s="6" t="n">
        <v>3</v>
      </c>
      <c r="E21" s="3" t="s">
        <v>41</v>
      </c>
      <c r="F21" s="3" t="n">
        <v>35</v>
      </c>
      <c r="G21" s="3" t="n">
        <v>38</v>
      </c>
      <c r="H21" s="3" t="n">
        <v>57</v>
      </c>
      <c r="I21" s="3" t="n">
        <v>60</v>
      </c>
      <c r="J21" s="3" t="n">
        <f aca="false">H21-F21</f>
        <v>22</v>
      </c>
      <c r="K21" s="3" t="str">
        <f aca="false">IF(J21=0,"SÍ","no")</f>
        <v>no</v>
      </c>
      <c r="L21" s="7" t="n">
        <f aca="false">$B$2+F21</f>
        <v>46322</v>
      </c>
      <c r="M21" s="7" t="n">
        <f aca="false">IF(D21=0,L21,$B$2+G21-1)</f>
        <v>46324</v>
      </c>
    </row>
    <row r="22" customFormat="false" ht="15" hidden="false" customHeight="true" outlineLevel="0" collapsed="false">
      <c r="A22" s="3" t="s">
        <v>56</v>
      </c>
      <c r="B22" s="3" t="s">
        <v>57</v>
      </c>
      <c r="C22" s="3" t="s">
        <v>58</v>
      </c>
      <c r="D22" s="6" t="n">
        <v>7</v>
      </c>
      <c r="E22" s="3" t="s">
        <v>59</v>
      </c>
      <c r="F22" s="3" t="n">
        <v>60</v>
      </c>
      <c r="G22" s="3" t="n">
        <v>67</v>
      </c>
      <c r="H22" s="3" t="n">
        <v>60</v>
      </c>
      <c r="I22" s="3" t="n">
        <v>67</v>
      </c>
      <c r="J22" s="3" t="n">
        <f aca="false">H22-F22</f>
        <v>0</v>
      </c>
      <c r="K22" s="3" t="str">
        <f aca="false">IF(J22=0,"SÍ","no")</f>
        <v>SÍ</v>
      </c>
      <c r="L22" s="7" t="n">
        <f aca="false">$B$2+F22</f>
        <v>46347</v>
      </c>
      <c r="M22" s="7" t="n">
        <f aca="false">IF(D22=0,L22,$B$2+G22-1)</f>
        <v>46353</v>
      </c>
    </row>
    <row r="23" customFormat="false" ht="15" hidden="false" customHeight="true" outlineLevel="0" collapsed="false">
      <c r="A23" s="3" t="s">
        <v>60</v>
      </c>
      <c r="B23" s="3" t="s">
        <v>61</v>
      </c>
      <c r="C23" s="3" t="s">
        <v>58</v>
      </c>
      <c r="D23" s="6" t="n">
        <v>3</v>
      </c>
      <c r="E23" s="3" t="s">
        <v>50</v>
      </c>
      <c r="F23" s="3" t="n">
        <v>60</v>
      </c>
      <c r="G23" s="3" t="n">
        <v>63</v>
      </c>
      <c r="H23" s="3" t="n">
        <v>64</v>
      </c>
      <c r="I23" s="3" t="n">
        <v>67</v>
      </c>
      <c r="J23" s="3" t="n">
        <f aca="false">H23-F23</f>
        <v>4</v>
      </c>
      <c r="K23" s="3" t="str">
        <f aca="false">IF(J23=0,"SÍ","no")</f>
        <v>no</v>
      </c>
      <c r="L23" s="7" t="n">
        <f aca="false">$B$2+F23</f>
        <v>46347</v>
      </c>
      <c r="M23" s="7" t="n">
        <f aca="false">IF(D23=0,L23,$B$2+G23-1)</f>
        <v>46349</v>
      </c>
    </row>
    <row r="24" customFormat="false" ht="15" hidden="false" customHeight="true" outlineLevel="0" collapsed="false">
      <c r="A24" s="3" t="s">
        <v>62</v>
      </c>
      <c r="B24" s="3" t="s">
        <v>63</v>
      </c>
      <c r="C24" s="3" t="s">
        <v>58</v>
      </c>
      <c r="D24" s="6" t="n">
        <v>7</v>
      </c>
      <c r="E24" s="3" t="s">
        <v>64</v>
      </c>
      <c r="F24" s="3" t="n">
        <v>67</v>
      </c>
      <c r="G24" s="3" t="n">
        <v>74</v>
      </c>
      <c r="H24" s="3" t="n">
        <v>67</v>
      </c>
      <c r="I24" s="3" t="n">
        <v>74</v>
      </c>
      <c r="J24" s="3" t="n">
        <f aca="false">H24-F24</f>
        <v>0</v>
      </c>
      <c r="K24" s="3" t="str">
        <f aca="false">IF(J24=0,"SÍ","no")</f>
        <v>SÍ</v>
      </c>
      <c r="L24" s="7" t="n">
        <f aca="false">$B$2+F24</f>
        <v>46354</v>
      </c>
      <c r="M24" s="7" t="n">
        <f aca="false">IF(D24=0,L24,$B$2+G24-1)</f>
        <v>46360</v>
      </c>
    </row>
    <row r="25" customFormat="false" ht="15" hidden="false" customHeight="true" outlineLevel="0" collapsed="false">
      <c r="A25" s="3" t="s">
        <v>65</v>
      </c>
      <c r="B25" s="3" t="s">
        <v>66</v>
      </c>
      <c r="C25" s="3" t="s">
        <v>67</v>
      </c>
      <c r="D25" s="6" t="n">
        <v>6</v>
      </c>
      <c r="E25" s="3" t="s">
        <v>50</v>
      </c>
      <c r="F25" s="3" t="n">
        <v>60</v>
      </c>
      <c r="G25" s="3" t="n">
        <v>66</v>
      </c>
      <c r="H25" s="3" t="n">
        <v>78</v>
      </c>
      <c r="I25" s="3" t="n">
        <v>84</v>
      </c>
      <c r="J25" s="3" t="n">
        <f aca="false">H25-F25</f>
        <v>18</v>
      </c>
      <c r="K25" s="3" t="str">
        <f aca="false">IF(J25=0,"SÍ","no")</f>
        <v>no</v>
      </c>
      <c r="L25" s="7" t="n">
        <f aca="false">$B$2+F25</f>
        <v>46347</v>
      </c>
      <c r="M25" s="7" t="n">
        <f aca="false">IF(D25=0,L25,$B$2+G25-1)</f>
        <v>46352</v>
      </c>
    </row>
    <row r="26" customFormat="false" ht="15" hidden="false" customHeight="true" outlineLevel="0" collapsed="false">
      <c r="A26" s="3" t="s">
        <v>68</v>
      </c>
      <c r="B26" s="3" t="s">
        <v>69</v>
      </c>
      <c r="C26" s="3" t="s">
        <v>67</v>
      </c>
      <c r="D26" s="6" t="n">
        <v>5</v>
      </c>
      <c r="E26" s="3" t="s">
        <v>70</v>
      </c>
      <c r="F26" s="3" t="n">
        <v>74</v>
      </c>
      <c r="G26" s="3" t="n">
        <v>79</v>
      </c>
      <c r="H26" s="3" t="n">
        <v>74</v>
      </c>
      <c r="I26" s="3" t="n">
        <v>79</v>
      </c>
      <c r="J26" s="3" t="n">
        <f aca="false">H26-F26</f>
        <v>0</v>
      </c>
      <c r="K26" s="3" t="str">
        <f aca="false">IF(J26=0,"SÍ","no")</f>
        <v>SÍ</v>
      </c>
      <c r="L26" s="7" t="n">
        <f aca="false">$B$2+F26</f>
        <v>46361</v>
      </c>
      <c r="M26" s="7" t="n">
        <f aca="false">IF(D26=0,L26,$B$2+G26-1)</f>
        <v>46365</v>
      </c>
    </row>
    <row r="27" customFormat="false" ht="15" hidden="false" customHeight="true" outlineLevel="0" collapsed="false">
      <c r="A27" s="3" t="s">
        <v>71</v>
      </c>
      <c r="B27" s="3" t="s">
        <v>72</v>
      </c>
      <c r="C27" s="3" t="s">
        <v>67</v>
      </c>
      <c r="D27" s="6" t="n">
        <v>5</v>
      </c>
      <c r="E27" s="3" t="s">
        <v>68</v>
      </c>
      <c r="F27" s="3" t="n">
        <v>79</v>
      </c>
      <c r="G27" s="3" t="n">
        <v>84</v>
      </c>
      <c r="H27" s="3" t="n">
        <v>79</v>
      </c>
      <c r="I27" s="3" t="n">
        <v>84</v>
      </c>
      <c r="J27" s="3" t="n">
        <f aca="false">H27-F27</f>
        <v>0</v>
      </c>
      <c r="K27" s="3" t="str">
        <f aca="false">IF(J27=0,"SÍ","no")</f>
        <v>SÍ</v>
      </c>
      <c r="L27" s="7" t="n">
        <f aca="false">$B$2+F27</f>
        <v>46366</v>
      </c>
      <c r="M27" s="7" t="n">
        <f aca="false">IF(D27=0,L27,$B$2+G27-1)</f>
        <v>46370</v>
      </c>
    </row>
    <row r="28" customFormat="false" ht="15" hidden="false" customHeight="true" outlineLevel="0" collapsed="false">
      <c r="A28" s="3" t="s">
        <v>73</v>
      </c>
      <c r="B28" s="3" t="s">
        <v>74</v>
      </c>
      <c r="C28" s="3" t="s">
        <v>67</v>
      </c>
      <c r="D28" s="6" t="n">
        <v>0</v>
      </c>
      <c r="E28" s="3" t="s">
        <v>75</v>
      </c>
      <c r="F28" s="3" t="n">
        <v>84</v>
      </c>
      <c r="G28" s="3" t="n">
        <v>84</v>
      </c>
      <c r="H28" s="3" t="n">
        <v>84</v>
      </c>
      <c r="I28" s="3" t="n">
        <v>84</v>
      </c>
      <c r="J28" s="3" t="n">
        <f aca="false">H28-F28</f>
        <v>0</v>
      </c>
      <c r="K28" s="3" t="str">
        <f aca="false">IF(J28=0,"SÍ","no")</f>
        <v>SÍ</v>
      </c>
      <c r="L28" s="7" t="n">
        <f aca="false">$B$2+F28</f>
        <v>46371</v>
      </c>
      <c r="M28" s="7" t="n">
        <f aca="false">IF(D28=0,L28,$B$2+G28-1)</f>
        <v>46371</v>
      </c>
    </row>
    <row r="29" customFormat="false" ht="15" hidden="false" customHeight="true" outlineLevel="0" collapsed="false">
      <c r="A29" s="3" t="s">
        <v>76</v>
      </c>
      <c r="B29" s="3" t="s">
        <v>77</v>
      </c>
      <c r="C29" s="3" t="s">
        <v>67</v>
      </c>
      <c r="D29" s="6" t="n">
        <v>4</v>
      </c>
      <c r="E29" s="3" t="s">
        <v>73</v>
      </c>
      <c r="F29" s="3" t="n">
        <v>84</v>
      </c>
      <c r="G29" s="3" t="n">
        <v>88</v>
      </c>
      <c r="H29" s="3" t="n">
        <v>84</v>
      </c>
      <c r="I29" s="3" t="n">
        <v>88</v>
      </c>
      <c r="J29" s="3" t="n">
        <f aca="false">H29-F29</f>
        <v>0</v>
      </c>
      <c r="K29" s="3" t="str">
        <f aca="false">IF(J29=0,"SÍ","no")</f>
        <v>SÍ</v>
      </c>
      <c r="L29" s="7" t="n">
        <f aca="false">$B$2+F29</f>
        <v>46371</v>
      </c>
      <c r="M29" s="7" t="n">
        <f aca="false">IF(D29=0,L29,$B$2+G29-1)</f>
        <v>46374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5" hidden="false" customHeight="true" outlineLevel="0" collapsed="false">
      <c r="A31" s="3" t="s">
        <v>78</v>
      </c>
      <c r="B31" s="3"/>
      <c r="C31" s="3"/>
      <c r="D31" s="3" t="n">
        <f aca="false">MAX(G5:G29)</f>
        <v>88</v>
      </c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5" hidden="false" customHeight="true" outlineLevel="0" collapsed="false">
      <c r="A32" s="3" t="s">
        <v>79</v>
      </c>
      <c r="B32" s="3"/>
      <c r="C32" s="3"/>
      <c r="D32" s="7" t="n">
        <f aca="false">MAX(M5:M29)</f>
        <v>46374</v>
      </c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5" hidden="false" customHeight="true" outlineLevel="0" collapsed="false">
      <c r="A33" s="3" t="s">
        <v>80</v>
      </c>
      <c r="B33" s="3"/>
      <c r="C33" s="3"/>
      <c r="D33" s="3" t="n">
        <f aca="false">COUNTIF(K5:K29,"SÍ")</f>
        <v>16</v>
      </c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5" hidden="false" customHeight="false" outlineLevel="0" collapsed="false">
      <c r="A34" s="3" t="s">
        <v>81</v>
      </c>
      <c r="D34" s="3" t="n">
        <f aca="false">ROUNDUP(D31/7,0)</f>
        <v>13</v>
      </c>
    </row>
    <row r="36" customFormat="false" ht="15" hidden="false" customHeight="false" outlineLevel="0" collapsed="false">
      <c r="A36" s="8" t="s">
        <v>82</v>
      </c>
    </row>
  </sheetData>
  <conditionalFormatting sqref="A5:M29">
    <cfRule type="expression" priority="2" aboveAverage="0" equalAverage="0" bottom="0" percent="0" rank="0" text="" dxfId="0">
      <formula>$J5=0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2026-09-27T19:38:39Z</dcterms:created>
  <dc:creator>openpyxl</dc:creator>
  <dc:description/>
  <dc:language>en-US</dc:language>
  <cp:lastModifiedBy/>
  <dcterms:modified xsi:type="dcterms:W3CDTF">2026-09-29T13:48:20Z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