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Resumen" sheetId="2" state="visible" r:id="rId4"/>
    <sheet name="MapaCalo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<sst xmlns="http://schemas.openxmlformats.org/spreadsheetml/2006/main" count="170" uniqueCount="125">
  <si>
    <t xml:space="preserve">Matriz de riesgos - Sistema de Control Escolar (Equipo A)</t>
  </si>
  <si>
    <t xml:space="preserve">Probabilidad e impacto de 1 a 5. Exposición = P × I. Nivel: Alto ≥15, Medio 8-14, Bajo ≤7. Por ética NO se copian contraseñas: solo archivo y línea.</t>
  </si>
  <si>
    <t xml:space="preserve">ID</t>
  </si>
  <si>
    <t xml:space="preserve">Descripción</t>
  </si>
  <si>
    <t xml:space="preserve">Categoría</t>
  </si>
  <si>
    <t xml:space="preserve">Evidencia (archivo:línea)</t>
  </si>
  <si>
    <t xml:space="preserve">Probabilidad</t>
  </si>
  <si>
    <t xml:space="preserve">Impacto</t>
  </si>
  <si>
    <t xml:space="preserve">Exposición</t>
  </si>
  <si>
    <t xml:space="preserve">Nivel</t>
  </si>
  <si>
    <t xml:space="preserve">Estrategia</t>
  </si>
  <si>
    <t xml:space="preserve">Acción concreta</t>
  </si>
  <si>
    <t xml:space="preserve">R01</t>
  </si>
  <si>
    <t xml:space="preserve">Credenciales de un servidor MySQL en la nube (clever-cloud) escritas en el código; quedan en el historial público de Git</t>
  </si>
  <si>
    <t xml:space="preserve">Seguridad</t>
  </si>
  <si>
    <t xml:space="preserve">Modelos/ConexionBD.php:7, 10, 12</t>
  </si>
  <si>
    <t xml:space="preserve">Evitar</t>
  </si>
  <si>
    <t xml:space="preserve">Revocar/rotar esas credenciales (avisar al autor), borrar el bloque, limpiar historial con git filter-repo y usar variables de entorno (.env fuera del repo)</t>
  </si>
  <si>
    <t xml:space="preserve">R02</t>
  </si>
  <si>
    <t xml:space="preserve">Contraseñas de usuarios en texto plano, solo numéricas e iguales a la matrícula (incluido Admin)</t>
  </si>
  <si>
    <t xml:space="preserve">usuarios.clave int(10); INSERT de usuarios en los 3 .sql (P4)</t>
  </si>
  <si>
    <t xml:space="preserve">Mitigar</t>
  </si>
  <si>
    <t xml:space="preserve">Migrar a password_hash()/password_verify(), columna VARCHAR(255), forzar cambio de contraseña en primer acceso</t>
  </si>
  <si>
    <t xml:space="preserve">R03</t>
  </si>
  <si>
    <t xml:space="preserve">Datos personales de alumnos (kardex, IMSS, cartas de liberación, CV) publicados en un repositorio público</t>
  </si>
  <si>
    <t xml:space="preserve">Legal</t>
  </si>
  <si>
    <t xml:space="preserve">Kardex/ (5 PDF), IMSS/ (5), Servicio/ (4), Documentos/ (11), Documentacion/</t>
  </si>
  <si>
    <t xml:space="preserve">Retirar los PDF del repo y del historial, agregarlos a .gitignore, avisar al autor/institución de origen</t>
  </si>
  <si>
    <t xml:space="preserve">R04</t>
  </si>
  <si>
    <t xml:space="preserve">Respaldos SQL con datos personales de usuarios y solicitudes (nombre, teléfono, correo, dirección, fecha de nacimiento, núm. IMSS)</t>
  </si>
  <si>
    <t xml:space="preserve">sistemacontrolescolar*.sql (3 archivos) - INSERT INTO usuarios / solicitudes</t>
  </si>
  <si>
    <t xml:space="preserve">Sustituir por script solo de estructura + datos ficticios; eliminar respaldos del historial</t>
  </si>
  <si>
    <t xml:space="preserve">R05</t>
  </si>
  <si>
    <t xml:space="preserve">Archivos subidos accesibles por URL directa y con nombre predecible (matrícula_Kardex.pdf)</t>
  </si>
  <si>
    <t xml:space="preserve">Kardex/, IMSS/, Documentos/ - nombres Doc__matricula__fecha__</t>
  </si>
  <si>
    <t xml:space="preserve">Guardar fuera de htdocs y servir con un script PHP que verifique sesión y rol; nombres aleatorios</t>
  </si>
  <si>
    <t xml:space="preserve">R06</t>
  </si>
  <si>
    <t xml:space="preserve">Conexión a MySQL con usuario root sin contraseña</t>
  </si>
  <si>
    <t xml:space="preserve">Modelos/ConexionBD.php:14; config/server.php:8, 10</t>
  </si>
  <si>
    <t xml:space="preserve">Crear usuario de BD con permisos mínimos (SELECT/INSERT/UPDATE/DELETE sobre una sola base) y contraseña fuerte</t>
  </si>
  <si>
    <t xml:space="preserve">R07</t>
  </si>
  <si>
    <t xml:space="preserve">Llave y vector de cifrado escritos en el código</t>
  </si>
  <si>
    <t xml:space="preserve">config/server.php:20-24 (SECRET_KEY / SECRET_IV)</t>
  </si>
  <si>
    <t xml:space="preserve">Generar llaves nuevas, moverlas a variables de entorno y no versionarlas</t>
  </si>
  <si>
    <t xml:space="preserve">R08</t>
  </si>
  <si>
    <t xml:space="preserve">Contraseña de cuenta de correo SMTP escrita en el código</t>
  </si>
  <si>
    <t xml:space="preserve">Controladores/EnviarCorreo.php:24; PHPMailer/EnviarCorreo.php:18</t>
  </si>
  <si>
    <t xml:space="preserve">Cuenta institucional con contraseña de aplicación guardada en .env; rotar la actual</t>
  </si>
  <si>
    <t xml:space="preserve">R09</t>
  </si>
  <si>
    <t xml:space="preserve">Credenciales de BD repetidas en varios archivos, fuera del modelo</t>
  </si>
  <si>
    <t xml:space="preserve">Técnico</t>
  </si>
  <si>
    <t xml:space="preserve">ImportarExcel/insertarUsuarios.php:10-16; ImportarExcel/insertarCatalogo.php:10-16; Modelos/importExcel.php:33-39</t>
  </si>
  <si>
    <t xml:space="preserve">Usar una sola clase de conexión (ConexionBD) en todo el sistema</t>
  </si>
  <si>
    <t xml:space="preserve">R10</t>
  </si>
  <si>
    <t xml:space="preserve">Librerías con vulnerabilidades conocidas: jQuery 1.9.1 y 3.2.1, Bootstrap 3.3.7, PHPMailer 6.3.0, SheetJS 0.15.4</t>
  </si>
  <si>
    <t xml:space="preserve">ImportarExcel/jquery-1.9.1.js, Vistas/js/jquery-1.9.1.js, Vistas/bower_components/, PHPMailer/, xlsx.js</t>
  </si>
  <si>
    <t xml:space="preserve">Actualizar a versiones soportadas y administrarlas con Composer/npm</t>
  </si>
  <si>
    <t xml:space="preserve">R11</t>
  </si>
  <si>
    <t xml:space="preserve">PHPExcel abandonada; no funciona bien en PHP 8</t>
  </si>
  <si>
    <t xml:space="preserve">Modelos/PHPExcel/, impExcel/Classes/</t>
  </si>
  <si>
    <t xml:space="preserve">Reemplazar por PhpSpreadsheet</t>
  </si>
  <si>
    <t xml:space="preserve">R12</t>
  </si>
  <si>
    <t xml:space="preserve">Plataforma PHP 7.x fuera de soporte (el volcado indica PHP 7.2.34)</t>
  </si>
  <si>
    <t xml:space="preserve">Encabezado de sistemacontrolescolar 11-06-2021.sql; Anexo: requiere PHP 7.4</t>
  </si>
  <si>
    <t xml:space="preserve">Migrar y probar en PHP 8.2+</t>
  </si>
  <si>
    <t xml:space="preserve">R13</t>
  </si>
  <si>
    <t xml:space="preserve">El script de BD no corresponde con el código (faltan tablas visitas, constancias, observacionesdoc)</t>
  </si>
  <si>
    <t xml:space="preserve">Práctica 4 - evaluacion-modelo.md 2.2</t>
  </si>
  <si>
    <t xml:space="preserve">Generar un script único y versionado a partir de una instalación funcional</t>
  </si>
  <si>
    <t xml:space="preserve">R14</t>
  </si>
  <si>
    <t xml:space="preserve">Base de datos sin llaves foráneas: registros huérfanos y datos inconsistentes</t>
  </si>
  <si>
    <t xml:space="preserve">0 cláusulas REFERENCES (P4)</t>
  </si>
  <si>
    <t xml:space="preserve">Declarar las 24 FK inferidas en el diagrama ER</t>
  </si>
  <si>
    <t xml:space="preserve">R15</t>
  </si>
  <si>
    <t xml:space="preserve">Sin pruebas automatizadas</t>
  </si>
  <si>
    <t xml:space="preserve">git ls-tree: los únicos tests son de librerías (bower_components)</t>
  </si>
  <si>
    <t xml:space="preserve">Pruebas de humo con PHPUnit para login, solicitud y constancias antes de cualquier cambio</t>
  </si>
  <si>
    <t xml:space="preserve">R16</t>
  </si>
  <si>
    <t xml:space="preserve">Funciones incompletas o con errores (recuperar contraseña no envía correo; HTML dentro de controladores)</t>
  </si>
  <si>
    <t xml:space="preserve">Vistas/modulos/recuperar.php; Controladores/usuariosC.php:45-53</t>
  </si>
  <si>
    <t xml:space="preserve">Aceptar</t>
  </si>
  <si>
    <t xml:space="preserve">Documentarlas como conocidas y corregirlas en la fase de modernización</t>
  </si>
  <si>
    <t xml:space="preserve">R17</t>
  </si>
  <si>
    <t xml:space="preserve">El repositorio no tiene licencia: no hay permiso legal para usarlo, modificarlo o redistribuirlo</t>
  </si>
  <si>
    <t xml:space="preserve">git ls-tree: no existe LICENSE en la raíz (solo de librerías)</t>
  </si>
  <si>
    <t xml:space="preserve">Transferir</t>
  </si>
  <si>
    <t xml:space="preserve">Pedir al autor autorización por escrito o que publique una licencia (MIT/GPL); si no, no adoptarlo</t>
  </si>
  <si>
    <t xml:space="preserve">R18</t>
  </si>
  <si>
    <t xml:space="preserve">Sistema sin aviso de privacidad ni mecanismo para derechos ARCO</t>
  </si>
  <si>
    <t xml:space="preserve">Ingresar.php y crearCuenta.php no muestran aviso de privacidad</t>
  </si>
  <si>
    <t xml:space="preserve">Redactar aviso de privacidad con el área jurídica y mostrarlo antes del registro</t>
  </si>
  <si>
    <t xml:space="preserve">R19</t>
  </si>
  <si>
    <t xml:space="preserve">Licencias de terceros con condiciones (TCPDF LGPL, jvectormap AGPL/comercial)</t>
  </si>
  <si>
    <t xml:space="preserve">tcpdf/LICENSE.TXT; Vistas/bower_components/jvectormap/LICENSE-AGPL, LICENSE-COMMERCIAL</t>
  </si>
  <si>
    <t xml:space="preserve">Quitar plugins no usados (jvectormap) y conservar avisos de licencia de TCPDF</t>
  </si>
  <si>
    <t xml:space="preserve">R20</t>
  </si>
  <si>
    <t xml:space="preserve">Dependencia de un solo desarrollador (bus factor = 1) y sin mantenimiento desde jun-2021</t>
  </si>
  <si>
    <t xml:space="preserve">Proyecto</t>
  </si>
  <si>
    <t xml:space="preserve">git shortlog: 1 persona, 10 commits (P6)</t>
  </si>
  <si>
    <t xml:space="preserve">Documentar el sistema y asignar responsable interno; contactar al autor</t>
  </si>
  <si>
    <t xml:space="preserve">R21</t>
  </si>
  <si>
    <t xml:space="preserve">Sin README, manual de instalación ni documentación técnica</t>
  </si>
  <si>
    <t xml:space="preserve">git ls-tree: no hay README propio</t>
  </si>
  <si>
    <t xml:space="preserve">Escribir README, manual de instalación y de usuario (P9)</t>
  </si>
  <si>
    <t xml:space="preserve">R22</t>
  </si>
  <si>
    <t xml:space="preserve">Requerimientos no alineados al proceso del Tec (anteproyecto, asignación de asesor, SII)</t>
  </si>
  <si>
    <t xml:space="preserve">Práctica 3 - reflexión 1</t>
  </si>
  <si>
    <t xml:space="preserve">Levantar requerimientos con el Depto. de Vinculación antes de adaptar</t>
  </si>
  <si>
    <t xml:space="preserve">R23</t>
  </si>
  <si>
    <t xml:space="preserve">Historial de Git poco útil (commits grandes y mensajes como "2")</t>
  </si>
  <si>
    <t xml:space="preserve">historial.txt (P6)</t>
  </si>
  <si>
    <t xml:space="preserve">Adoptar convenciones de commits desde ahora</t>
  </si>
  <si>
    <t xml:space="preserve">R24</t>
  </si>
  <si>
    <t xml:space="preserve">Estimación de costo de modernización muy incierta (variación 4 a 8 veces entre métodos y realidad)</t>
  </si>
  <si>
    <t xml:space="preserve">Prácticas 5 y 6</t>
  </si>
  <si>
    <t xml:space="preserve">Presupuestar por fases con reserva de contingencia del 20%</t>
  </si>
  <si>
    <t xml:space="preserve">Resumen por categoría y nivel</t>
  </si>
  <si>
    <t xml:space="preserve">Riesgos</t>
  </si>
  <si>
    <t xml:space="preserve">Exposición promedio</t>
  </si>
  <si>
    <t xml:space="preserve">Altos</t>
  </si>
  <si>
    <t xml:space="preserve">Medios</t>
  </si>
  <si>
    <t xml:space="preserve">Bajos</t>
  </si>
  <si>
    <t xml:space="preserve">TOTAL</t>
  </si>
  <si>
    <t xml:space="preserve">Mapa de calor: número de riesgos por celda (ver mapa-calor.png para los ID)</t>
  </si>
  <si>
    <t xml:space="preserve">Probabilidad ↓ / Impacto →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</si>
</sst>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63BE7B"/>
        <bgColor rgb="FF339966"/>
      </patternFill>
    </fill>
    <fill>
      <patternFill patternType="solid">
        <fgColor rgb="FFFFEB84"/>
        <bgColor rgb="FFFFCC99"/>
      </patternFill>
    </fill>
    <fill>
      <patternFill patternType="solid">
        <fgColor rgb="FFF8696B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4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55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2.8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5" t="n">
        <v>5</v>
      </c>
      <c r="F5" s="5" t="n">
        <v>5</v>
      </c>
      <c r="G5" s="6" t="n">
        <f aca="false">E5*F5</f>
        <v>25</v>
      </c>
      <c r="H5" s="4" t="str">
        <f aca="false">IF(G5&gt;=15,"Alto",IF(G5&gt;=8,"Medio","Bajo"))</f>
        <v>Alto</v>
      </c>
      <c r="I5" s="4" t="s">
        <v>16</v>
      </c>
      <c r="J5" s="4" t="s">
        <v>17</v>
      </c>
    </row>
    <row r="6" customFormat="false" ht="22.35" hidden="false" customHeight="false" outlineLevel="0" collapsed="false">
      <c r="A6" s="4" t="s">
        <v>18</v>
      </c>
      <c r="B6" s="4" t="s">
        <v>19</v>
      </c>
      <c r="C6" s="4" t="s">
        <v>14</v>
      </c>
      <c r="D6" s="4" t="s">
        <v>20</v>
      </c>
      <c r="E6" s="5" t="n">
        <v>5</v>
      </c>
      <c r="F6" s="5" t="n">
        <v>5</v>
      </c>
      <c r="G6" s="6" t="n">
        <f aca="false">E6*F6</f>
        <v>25</v>
      </c>
      <c r="H6" s="4" t="str">
        <f aca="false">IF(G6&gt;=15,"Alto",IF(G6&gt;=8,"Medio","Bajo"))</f>
        <v>Alto</v>
      </c>
      <c r="I6" s="4" t="s">
        <v>21</v>
      </c>
      <c r="J6" s="4" t="s">
        <v>22</v>
      </c>
    </row>
    <row r="7" customFormat="false" ht="22.35" hidden="false" customHeight="false" outlineLevel="0" collapsed="false">
      <c r="A7" s="4" t="s">
        <v>23</v>
      </c>
      <c r="B7" s="4" t="s">
        <v>24</v>
      </c>
      <c r="C7" s="4" t="s">
        <v>25</v>
      </c>
      <c r="D7" s="4" t="s">
        <v>26</v>
      </c>
      <c r="E7" s="5" t="n">
        <v>5</v>
      </c>
      <c r="F7" s="5" t="n">
        <v>5</v>
      </c>
      <c r="G7" s="6" t="n">
        <f aca="false">E7*F7</f>
        <v>25</v>
      </c>
      <c r="H7" s="4" t="str">
        <f aca="false">IF(G7&gt;=15,"Alto",IF(G7&gt;=8,"Medio","Bajo"))</f>
        <v>Alto</v>
      </c>
      <c r="I7" s="4" t="s">
        <v>16</v>
      </c>
      <c r="J7" s="4" t="s">
        <v>27</v>
      </c>
    </row>
    <row r="8" customFormat="false" ht="32.8" hidden="false" customHeight="false" outlineLevel="0" collapsed="false">
      <c r="A8" s="4" t="s">
        <v>28</v>
      </c>
      <c r="B8" s="4" t="s">
        <v>29</v>
      </c>
      <c r="C8" s="4" t="s">
        <v>25</v>
      </c>
      <c r="D8" s="4" t="s">
        <v>30</v>
      </c>
      <c r="E8" s="5" t="n">
        <v>5</v>
      </c>
      <c r="F8" s="5" t="n">
        <v>5</v>
      </c>
      <c r="G8" s="6" t="n">
        <f aca="false">E8*F8</f>
        <v>25</v>
      </c>
      <c r="H8" s="4" t="str">
        <f aca="false">IF(G8&gt;=15,"Alto",IF(G8&gt;=8,"Medio","Bajo"))</f>
        <v>Alto</v>
      </c>
      <c r="I8" s="4" t="s">
        <v>16</v>
      </c>
      <c r="J8" s="4" t="s">
        <v>31</v>
      </c>
    </row>
    <row r="9" customFormat="false" ht="22.35" hidden="false" customHeight="false" outlineLevel="0" collapsed="false">
      <c r="A9" s="4" t="s">
        <v>32</v>
      </c>
      <c r="B9" s="4" t="s">
        <v>33</v>
      </c>
      <c r="C9" s="4" t="s">
        <v>14</v>
      </c>
      <c r="D9" s="4" t="s">
        <v>34</v>
      </c>
      <c r="E9" s="5" t="n">
        <v>4</v>
      </c>
      <c r="F9" s="5" t="n">
        <v>5</v>
      </c>
      <c r="G9" s="6" t="n">
        <f aca="false">E9*F9</f>
        <v>20</v>
      </c>
      <c r="H9" s="4" t="str">
        <f aca="false">IF(G9&gt;=15,"Alto",IF(G9&gt;=8,"Medio","Bajo"))</f>
        <v>Alto</v>
      </c>
      <c r="I9" s="4" t="s">
        <v>21</v>
      </c>
      <c r="J9" s="4" t="s">
        <v>35</v>
      </c>
    </row>
    <row r="10" customFormat="false" ht="32.8" hidden="false" customHeight="false" outlineLevel="0" collapsed="false">
      <c r="A10" s="4" t="s">
        <v>36</v>
      </c>
      <c r="B10" s="4" t="s">
        <v>37</v>
      </c>
      <c r="C10" s="4" t="s">
        <v>14</v>
      </c>
      <c r="D10" s="4" t="s">
        <v>38</v>
      </c>
      <c r="E10" s="5" t="n">
        <v>4</v>
      </c>
      <c r="F10" s="5" t="n">
        <v>4</v>
      </c>
      <c r="G10" s="6" t="n">
        <f aca="false">E10*F10</f>
        <v>16</v>
      </c>
      <c r="H10" s="4" t="str">
        <f aca="false">IF(G10&gt;=15,"Alto",IF(G10&gt;=8,"Medio","Bajo"))</f>
        <v>Alto</v>
      </c>
      <c r="I10" s="4" t="s">
        <v>21</v>
      </c>
      <c r="J10" s="4" t="s">
        <v>39</v>
      </c>
    </row>
    <row r="11" customFormat="false" ht="15" hidden="false" customHeight="false" outlineLevel="0" collapsed="false">
      <c r="A11" s="4" t="s">
        <v>40</v>
      </c>
      <c r="B11" s="4" t="s">
        <v>41</v>
      </c>
      <c r="C11" s="4" t="s">
        <v>14</v>
      </c>
      <c r="D11" s="4" t="s">
        <v>42</v>
      </c>
      <c r="E11" s="5" t="n">
        <v>4</v>
      </c>
      <c r="F11" s="5" t="n">
        <v>4</v>
      </c>
      <c r="G11" s="6" t="n">
        <f aca="false">E11*F11</f>
        <v>16</v>
      </c>
      <c r="H11" s="4" t="str">
        <f aca="false">IF(G11&gt;=15,"Alto",IF(G11&gt;=8,"Medio","Bajo"))</f>
        <v>Alto</v>
      </c>
      <c r="I11" s="4" t="s">
        <v>21</v>
      </c>
      <c r="J11" s="4" t="s">
        <v>43</v>
      </c>
    </row>
    <row r="12" customFormat="false" ht="22.35" hidden="false" customHeight="false" outlineLevel="0" collapsed="false">
      <c r="A12" s="4" t="s">
        <v>44</v>
      </c>
      <c r="B12" s="4" t="s">
        <v>45</v>
      </c>
      <c r="C12" s="4" t="s">
        <v>14</v>
      </c>
      <c r="D12" s="4" t="s">
        <v>46</v>
      </c>
      <c r="E12" s="5" t="n">
        <v>4</v>
      </c>
      <c r="F12" s="5" t="n">
        <v>4</v>
      </c>
      <c r="G12" s="6" t="n">
        <f aca="false">E12*F12</f>
        <v>16</v>
      </c>
      <c r="H12" s="4" t="str">
        <f aca="false">IF(G12&gt;=15,"Alto",IF(G12&gt;=8,"Medio","Bajo"))</f>
        <v>Alto</v>
      </c>
      <c r="I12" s="4" t="s">
        <v>21</v>
      </c>
      <c r="J12" s="4" t="s">
        <v>47</v>
      </c>
    </row>
    <row r="13" customFormat="false" ht="32.8" hidden="false" customHeight="false" outlineLevel="0" collapsed="false">
      <c r="A13" s="4" t="s">
        <v>48</v>
      </c>
      <c r="B13" s="4" t="s">
        <v>49</v>
      </c>
      <c r="C13" s="4" t="s">
        <v>50</v>
      </c>
      <c r="D13" s="4" t="s">
        <v>51</v>
      </c>
      <c r="E13" s="5" t="n">
        <v>4</v>
      </c>
      <c r="F13" s="5" t="n">
        <v>3</v>
      </c>
      <c r="G13" s="6" t="n">
        <f aca="false">E13*F13</f>
        <v>12</v>
      </c>
      <c r="H13" s="4" t="str">
        <f aca="false">IF(G13&gt;=15,"Alto",IF(G13&gt;=8,"Medio","Bajo"))</f>
        <v>Medio</v>
      </c>
      <c r="I13" s="4" t="s">
        <v>21</v>
      </c>
      <c r="J13" s="4" t="s">
        <v>52</v>
      </c>
    </row>
    <row r="14" customFormat="false" ht="22.35" hidden="false" customHeight="false" outlineLevel="0" collapsed="false">
      <c r="A14" s="4" t="s">
        <v>53</v>
      </c>
      <c r="B14" s="4" t="s">
        <v>54</v>
      </c>
      <c r="C14" s="4" t="s">
        <v>14</v>
      </c>
      <c r="D14" s="4" t="s">
        <v>55</v>
      </c>
      <c r="E14" s="5" t="n">
        <v>3</v>
      </c>
      <c r="F14" s="5" t="n">
        <v>4</v>
      </c>
      <c r="G14" s="6" t="n">
        <f aca="false">E14*F14</f>
        <v>12</v>
      </c>
      <c r="H14" s="4" t="str">
        <f aca="false">IF(G14&gt;=15,"Alto",IF(G14&gt;=8,"Medio","Bajo"))</f>
        <v>Medio</v>
      </c>
      <c r="I14" s="4" t="s">
        <v>21</v>
      </c>
      <c r="J14" s="4" t="s">
        <v>56</v>
      </c>
    </row>
    <row r="15" customFormat="false" ht="15" hidden="false" customHeight="false" outlineLevel="0" collapsed="false">
      <c r="A15" s="4" t="s">
        <v>57</v>
      </c>
      <c r="B15" s="4" t="s">
        <v>58</v>
      </c>
      <c r="C15" s="4" t="s">
        <v>50</v>
      </c>
      <c r="D15" s="4" t="s">
        <v>59</v>
      </c>
      <c r="E15" s="5" t="n">
        <v>5</v>
      </c>
      <c r="F15" s="5" t="n">
        <v>3</v>
      </c>
      <c r="G15" s="6" t="n">
        <f aca="false">E15*F15</f>
        <v>15</v>
      </c>
      <c r="H15" s="4" t="str">
        <f aca="false">IF(G15&gt;=15,"Alto",IF(G15&gt;=8,"Medio","Bajo"))</f>
        <v>Alto</v>
      </c>
      <c r="I15" s="4" t="s">
        <v>21</v>
      </c>
      <c r="J15" s="4" t="s">
        <v>60</v>
      </c>
    </row>
    <row r="16" customFormat="false" ht="22.35" hidden="false" customHeight="false" outlineLevel="0" collapsed="false">
      <c r="A16" s="4" t="s">
        <v>61</v>
      </c>
      <c r="B16" s="4" t="s">
        <v>62</v>
      </c>
      <c r="C16" s="4" t="s">
        <v>50</v>
      </c>
      <c r="D16" s="4" t="s">
        <v>63</v>
      </c>
      <c r="E16" s="5" t="n">
        <v>4</v>
      </c>
      <c r="F16" s="5" t="n">
        <v>4</v>
      </c>
      <c r="G16" s="6" t="n">
        <f aca="false">E16*F16</f>
        <v>16</v>
      </c>
      <c r="H16" s="4" t="str">
        <f aca="false">IF(G16&gt;=15,"Alto",IF(G16&gt;=8,"Medio","Bajo"))</f>
        <v>Alto</v>
      </c>
      <c r="I16" s="4" t="s">
        <v>21</v>
      </c>
      <c r="J16" s="4" t="s">
        <v>64</v>
      </c>
    </row>
    <row r="17" customFormat="false" ht="22.35" hidden="false" customHeight="false" outlineLevel="0" collapsed="false">
      <c r="A17" s="4" t="s">
        <v>65</v>
      </c>
      <c r="B17" s="4" t="s">
        <v>66</v>
      </c>
      <c r="C17" s="4" t="s">
        <v>50</v>
      </c>
      <c r="D17" s="4" t="s">
        <v>67</v>
      </c>
      <c r="E17" s="5" t="n">
        <v>5</v>
      </c>
      <c r="F17" s="5" t="n">
        <v>4</v>
      </c>
      <c r="G17" s="6" t="n">
        <f aca="false">E17*F17</f>
        <v>20</v>
      </c>
      <c r="H17" s="4" t="str">
        <f aca="false">IF(G17&gt;=15,"Alto",IF(G17&gt;=8,"Medio","Bajo"))</f>
        <v>Alto</v>
      </c>
      <c r="I17" s="4" t="s">
        <v>21</v>
      </c>
      <c r="J17" s="4" t="s">
        <v>68</v>
      </c>
    </row>
    <row r="18" customFormat="false" ht="22.35" hidden="false" customHeight="false" outlineLevel="0" collapsed="false">
      <c r="A18" s="4" t="s">
        <v>69</v>
      </c>
      <c r="B18" s="4" t="s">
        <v>70</v>
      </c>
      <c r="C18" s="4" t="s">
        <v>50</v>
      </c>
      <c r="D18" s="4" t="s">
        <v>71</v>
      </c>
      <c r="E18" s="5" t="n">
        <v>4</v>
      </c>
      <c r="F18" s="5" t="n">
        <v>3</v>
      </c>
      <c r="G18" s="6" t="n">
        <f aca="false">E18*F18</f>
        <v>12</v>
      </c>
      <c r="H18" s="4" t="str">
        <f aca="false">IF(G18&gt;=15,"Alto",IF(G18&gt;=8,"Medio","Bajo"))</f>
        <v>Medio</v>
      </c>
      <c r="I18" s="4" t="s">
        <v>21</v>
      </c>
      <c r="J18" s="4" t="s">
        <v>72</v>
      </c>
    </row>
    <row r="19" customFormat="false" ht="22.35" hidden="false" customHeight="false" outlineLevel="0" collapsed="false">
      <c r="A19" s="4" t="s">
        <v>73</v>
      </c>
      <c r="B19" s="4" t="s">
        <v>74</v>
      </c>
      <c r="C19" s="4" t="s">
        <v>50</v>
      </c>
      <c r="D19" s="4" t="s">
        <v>75</v>
      </c>
      <c r="E19" s="5" t="n">
        <v>5</v>
      </c>
      <c r="F19" s="5" t="n">
        <v>3</v>
      </c>
      <c r="G19" s="6" t="n">
        <f aca="false">E19*F19</f>
        <v>15</v>
      </c>
      <c r="H19" s="4" t="str">
        <f aca="false">IF(G19&gt;=15,"Alto",IF(G19&gt;=8,"Medio","Bajo"))</f>
        <v>Alto</v>
      </c>
      <c r="I19" s="4" t="s">
        <v>21</v>
      </c>
      <c r="J19" s="4" t="s">
        <v>76</v>
      </c>
    </row>
    <row r="20" customFormat="false" ht="22.35" hidden="false" customHeight="false" outlineLevel="0" collapsed="false">
      <c r="A20" s="4" t="s">
        <v>77</v>
      </c>
      <c r="B20" s="4" t="s">
        <v>78</v>
      </c>
      <c r="C20" s="4" t="s">
        <v>50</v>
      </c>
      <c r="D20" s="4" t="s">
        <v>79</v>
      </c>
      <c r="E20" s="5" t="n">
        <v>5</v>
      </c>
      <c r="F20" s="5" t="n">
        <v>2</v>
      </c>
      <c r="G20" s="6" t="n">
        <f aca="false">E20*F20</f>
        <v>10</v>
      </c>
      <c r="H20" s="4" t="str">
        <f aca="false">IF(G20&gt;=15,"Alto",IF(G20&gt;=8,"Medio","Bajo"))</f>
        <v>Medio</v>
      </c>
      <c r="I20" s="4" t="s">
        <v>80</v>
      </c>
      <c r="J20" s="4" t="s">
        <v>81</v>
      </c>
    </row>
    <row r="21" customFormat="false" ht="22.35" hidden="false" customHeight="false" outlineLevel="0" collapsed="false">
      <c r="A21" s="4" t="s">
        <v>82</v>
      </c>
      <c r="B21" s="4" t="s">
        <v>83</v>
      </c>
      <c r="C21" s="4" t="s">
        <v>25</v>
      </c>
      <c r="D21" s="4" t="s">
        <v>84</v>
      </c>
      <c r="E21" s="5" t="n">
        <v>4</v>
      </c>
      <c r="F21" s="5" t="n">
        <v>4</v>
      </c>
      <c r="G21" s="6" t="n">
        <f aca="false">E21*F21</f>
        <v>16</v>
      </c>
      <c r="H21" s="4" t="str">
        <f aca="false">IF(G21&gt;=15,"Alto",IF(G21&gt;=8,"Medio","Bajo"))</f>
        <v>Alto</v>
      </c>
      <c r="I21" s="4" t="s">
        <v>85</v>
      </c>
      <c r="J21" s="4" t="s">
        <v>86</v>
      </c>
    </row>
    <row r="22" customFormat="false" ht="22.35" hidden="false" customHeight="false" outlineLevel="0" collapsed="false">
      <c r="A22" s="4" t="s">
        <v>87</v>
      </c>
      <c r="B22" s="4" t="s">
        <v>88</v>
      </c>
      <c r="C22" s="4" t="s">
        <v>25</v>
      </c>
      <c r="D22" s="4" t="s">
        <v>89</v>
      </c>
      <c r="E22" s="5" t="n">
        <v>5</v>
      </c>
      <c r="F22" s="5" t="n">
        <v>4</v>
      </c>
      <c r="G22" s="6" t="n">
        <f aca="false">E22*F22</f>
        <v>20</v>
      </c>
      <c r="H22" s="4" t="str">
        <f aca="false">IF(G22&gt;=15,"Alto",IF(G22&gt;=8,"Medio","Bajo"))</f>
        <v>Alto</v>
      </c>
      <c r="I22" s="4" t="s">
        <v>16</v>
      </c>
      <c r="J22" s="4" t="s">
        <v>90</v>
      </c>
    </row>
    <row r="23" customFormat="false" ht="32.8" hidden="false" customHeight="false" outlineLevel="0" collapsed="false">
      <c r="A23" s="4" t="s">
        <v>91</v>
      </c>
      <c r="B23" s="4" t="s">
        <v>92</v>
      </c>
      <c r="C23" s="4" t="s">
        <v>25</v>
      </c>
      <c r="D23" s="4" t="s">
        <v>93</v>
      </c>
      <c r="E23" s="5" t="n">
        <v>2</v>
      </c>
      <c r="F23" s="5" t="n">
        <v>3</v>
      </c>
      <c r="G23" s="6" t="n">
        <f aca="false">E23*F23</f>
        <v>6</v>
      </c>
      <c r="H23" s="4" t="str">
        <f aca="false">IF(G23&gt;=15,"Alto",IF(G23&gt;=8,"Medio","Bajo"))</f>
        <v>Bajo</v>
      </c>
      <c r="I23" s="4" t="s">
        <v>16</v>
      </c>
      <c r="J23" s="4" t="s">
        <v>94</v>
      </c>
    </row>
    <row r="24" customFormat="false" ht="22.35" hidden="false" customHeight="false" outlineLevel="0" collapsed="false">
      <c r="A24" s="4" t="s">
        <v>95</v>
      </c>
      <c r="B24" s="4" t="s">
        <v>96</v>
      </c>
      <c r="C24" s="4" t="s">
        <v>97</v>
      </c>
      <c r="D24" s="4" t="s">
        <v>98</v>
      </c>
      <c r="E24" s="5" t="n">
        <v>5</v>
      </c>
      <c r="F24" s="5" t="n">
        <v>4</v>
      </c>
      <c r="G24" s="6" t="n">
        <f aca="false">E24*F24</f>
        <v>20</v>
      </c>
      <c r="H24" s="4" t="str">
        <f aca="false">IF(G24&gt;=15,"Alto",IF(G24&gt;=8,"Medio","Bajo"))</f>
        <v>Alto</v>
      </c>
      <c r="I24" s="4" t="s">
        <v>21</v>
      </c>
      <c r="J24" s="4" t="s">
        <v>99</v>
      </c>
    </row>
    <row r="25" customFormat="false" ht="15" hidden="false" customHeight="false" outlineLevel="0" collapsed="false">
      <c r="A25" s="4" t="s">
        <v>100</v>
      </c>
      <c r="B25" s="4" t="s">
        <v>101</v>
      </c>
      <c r="C25" s="4" t="s">
        <v>97</v>
      </c>
      <c r="D25" s="4" t="s">
        <v>102</v>
      </c>
      <c r="E25" s="5" t="n">
        <v>5</v>
      </c>
      <c r="F25" s="5" t="n">
        <v>3</v>
      </c>
      <c r="G25" s="6" t="n">
        <f aca="false">E25*F25</f>
        <v>15</v>
      </c>
      <c r="H25" s="4" t="str">
        <f aca="false">IF(G25&gt;=15,"Alto",IF(G25&gt;=8,"Medio","Bajo"))</f>
        <v>Alto</v>
      </c>
      <c r="I25" s="4" t="s">
        <v>21</v>
      </c>
      <c r="J25" s="4" t="s">
        <v>103</v>
      </c>
    </row>
    <row r="26" customFormat="false" ht="22.35" hidden="false" customHeight="false" outlineLevel="0" collapsed="false">
      <c r="A26" s="4" t="s">
        <v>104</v>
      </c>
      <c r="B26" s="4" t="s">
        <v>105</v>
      </c>
      <c r="C26" s="4" t="s">
        <v>97</v>
      </c>
      <c r="D26" s="4" t="s">
        <v>106</v>
      </c>
      <c r="E26" s="5" t="n">
        <v>4</v>
      </c>
      <c r="F26" s="5" t="n">
        <v>4</v>
      </c>
      <c r="G26" s="6" t="n">
        <f aca="false">E26*F26</f>
        <v>16</v>
      </c>
      <c r="H26" s="4" t="str">
        <f aca="false">IF(G26&gt;=15,"Alto",IF(G26&gt;=8,"Medio","Bajo"))</f>
        <v>Alto</v>
      </c>
      <c r="I26" s="4" t="s">
        <v>21</v>
      </c>
      <c r="J26" s="4" t="s">
        <v>107</v>
      </c>
    </row>
    <row r="27" customFormat="false" ht="22.35" hidden="false" customHeight="false" outlineLevel="0" collapsed="false">
      <c r="A27" s="4" t="s">
        <v>108</v>
      </c>
      <c r="B27" s="4" t="s">
        <v>109</v>
      </c>
      <c r="C27" s="4" t="s">
        <v>97</v>
      </c>
      <c r="D27" s="4" t="s">
        <v>110</v>
      </c>
      <c r="E27" s="5" t="n">
        <v>4</v>
      </c>
      <c r="F27" s="5" t="n">
        <v>2</v>
      </c>
      <c r="G27" s="6" t="n">
        <f aca="false">E27*F27</f>
        <v>8</v>
      </c>
      <c r="H27" s="4" t="str">
        <f aca="false">IF(G27&gt;=15,"Alto",IF(G27&gt;=8,"Medio","Bajo"))</f>
        <v>Medio</v>
      </c>
      <c r="I27" s="4" t="s">
        <v>80</v>
      </c>
      <c r="J27" s="4" t="s">
        <v>111</v>
      </c>
    </row>
    <row r="28" customFormat="false" ht="22.35" hidden="false" customHeight="false" outlineLevel="0" collapsed="false">
      <c r="A28" s="4" t="s">
        <v>112</v>
      </c>
      <c r="B28" s="4" t="s">
        <v>113</v>
      </c>
      <c r="C28" s="4" t="s">
        <v>97</v>
      </c>
      <c r="D28" s="4" t="s">
        <v>114</v>
      </c>
      <c r="E28" s="5" t="n">
        <v>3</v>
      </c>
      <c r="F28" s="5" t="n">
        <v>3</v>
      </c>
      <c r="G28" s="6" t="n">
        <f aca="false">E28*F28</f>
        <v>9</v>
      </c>
      <c r="H28" s="4" t="str">
        <f aca="false">IF(G28&gt;=15,"Alto",IF(G28&gt;=8,"Medio","Bajo"))</f>
        <v>Medio</v>
      </c>
      <c r="I28" s="4" t="s">
        <v>21</v>
      </c>
      <c r="J28" s="4" t="s">
        <v>115</v>
      </c>
    </row>
  </sheetData>
  <conditionalFormatting sqref="G5:G28">
    <cfRule type="cellIs" priority="2" operator="greaterThanOrEqual" aboveAverage="0" equalAverage="0" bottom="0" percent="0" rank="0" text="" dxfId="0">
      <formula>15</formula>
    </cfRule>
    <cfRule type="cellIs" priority="3" operator="between" aboveAverage="0" equalAverage="0" bottom="0" percent="0" rank="0" text="" dxfId="1">
      <formula>8</formula>
      <formula>14</formula>
    </cfRule>
    <cfRule type="cellIs" priority="4" operator="lessThanOrEqual" aboveAverage="0" equalAverage="0" bottom="0" percent="0" rank="0" text="" dxfId="2">
      <formula>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7" t="s">
        <v>116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8" t="s">
        <v>4</v>
      </c>
      <c r="B3" s="8" t="s">
        <v>117</v>
      </c>
      <c r="C3" s="8" t="s">
        <v>118</v>
      </c>
      <c r="D3" s="8" t="s">
        <v>119</v>
      </c>
      <c r="E3" s="8" t="s">
        <v>120</v>
      </c>
      <c r="F3" s="8" t="s">
        <v>121</v>
      </c>
    </row>
    <row r="4" customFormat="false" ht="15" hidden="false" customHeight="false" outlineLevel="0" collapsed="false">
      <c r="A4" s="2" t="s">
        <v>14</v>
      </c>
      <c r="B4" s="2" t="n">
        <f aca="false">COUNTIF(Matriz!$C$5:$C$28,A4)</f>
        <v>7</v>
      </c>
      <c r="C4" s="9" t="n">
        <f aca="false">AVERAGEIF(Matriz!$C$5:$C$28,A4,Matriz!$G$5:$G$28)</f>
        <v>18.5714285714286</v>
      </c>
      <c r="D4" s="2" t="n">
        <f aca="false">COUNTIFS(Matriz!$C$5:$C$28,A4,Matriz!$H$5:$H$28,"Alto")</f>
        <v>6</v>
      </c>
      <c r="E4" s="2" t="n">
        <f aca="false">COUNTIFS(Matriz!$C$5:$C$28,A4,Matriz!$H$5:$H$28,"Medio")</f>
        <v>1</v>
      </c>
      <c r="F4" s="2" t="n">
        <f aca="false">COUNTIFS(Matriz!$C$5:$C$28,A4,Matriz!$H$5:$H$28,"Bajo")</f>
        <v>0</v>
      </c>
    </row>
    <row r="5" customFormat="false" ht="15" hidden="false" customHeight="false" outlineLevel="0" collapsed="false">
      <c r="A5" s="2" t="s">
        <v>25</v>
      </c>
      <c r="B5" s="2" t="n">
        <f aca="false">COUNTIF(Matriz!$C$5:$C$28,A5)</f>
        <v>5</v>
      </c>
      <c r="C5" s="9" t="n">
        <f aca="false">AVERAGEIF(Matriz!$C$5:$C$28,A5,Matriz!$G$5:$G$28)</f>
        <v>18.4</v>
      </c>
      <c r="D5" s="2" t="n">
        <f aca="false">COUNTIFS(Matriz!$C$5:$C$28,A5,Matriz!$H$5:$H$28,"Alto")</f>
        <v>4</v>
      </c>
      <c r="E5" s="2" t="n">
        <f aca="false">COUNTIFS(Matriz!$C$5:$C$28,A5,Matriz!$H$5:$H$28,"Medio")</f>
        <v>0</v>
      </c>
      <c r="F5" s="2" t="n">
        <f aca="false">COUNTIFS(Matriz!$C$5:$C$28,A5,Matriz!$H$5:$H$28,"Bajo")</f>
        <v>1</v>
      </c>
    </row>
    <row r="6" customFormat="false" ht="15" hidden="false" customHeight="false" outlineLevel="0" collapsed="false">
      <c r="A6" s="2" t="s">
        <v>50</v>
      </c>
      <c r="B6" s="2" t="n">
        <f aca="false">COUNTIF(Matriz!$C$5:$C$28,A6)</f>
        <v>7</v>
      </c>
      <c r="C6" s="9" t="n">
        <f aca="false">AVERAGEIF(Matriz!$C$5:$C$28,A6,Matriz!$G$5:$G$28)</f>
        <v>14.2857142857143</v>
      </c>
      <c r="D6" s="2" t="n">
        <f aca="false">COUNTIFS(Matriz!$C$5:$C$28,A6,Matriz!$H$5:$H$28,"Alto")</f>
        <v>4</v>
      </c>
      <c r="E6" s="2" t="n">
        <f aca="false">COUNTIFS(Matriz!$C$5:$C$28,A6,Matriz!$H$5:$H$28,"Medio")</f>
        <v>3</v>
      </c>
      <c r="F6" s="2" t="n">
        <f aca="false">COUNTIFS(Matriz!$C$5:$C$28,A6,Matriz!$H$5:$H$28,"Bajo")</f>
        <v>0</v>
      </c>
    </row>
    <row r="7" customFormat="false" ht="15" hidden="false" customHeight="false" outlineLevel="0" collapsed="false">
      <c r="A7" s="2" t="s">
        <v>97</v>
      </c>
      <c r="B7" s="2" t="n">
        <f aca="false">COUNTIF(Matriz!$C$5:$C$28,A7)</f>
        <v>5</v>
      </c>
      <c r="C7" s="9" t="n">
        <f aca="false">AVERAGEIF(Matriz!$C$5:$C$28,A7,Matriz!$G$5:$G$28)</f>
        <v>13.6</v>
      </c>
      <c r="D7" s="2" t="n">
        <f aca="false">COUNTIFS(Matriz!$C$5:$C$28,A7,Matriz!$H$5:$H$28,"Alto")</f>
        <v>3</v>
      </c>
      <c r="E7" s="2" t="n">
        <f aca="false">COUNTIFS(Matriz!$C$5:$C$28,A7,Matriz!$H$5:$H$28,"Medio")</f>
        <v>2</v>
      </c>
      <c r="F7" s="2" t="n">
        <f aca="false">COUNTIFS(Matriz!$C$5:$C$28,A7,Matriz!$H$5:$H$28,"Bajo")</f>
        <v>0</v>
      </c>
    </row>
    <row r="8" customFormat="false" ht="15" hidden="false" customHeight="false" outlineLevel="0" collapsed="false">
      <c r="A8" s="10" t="s">
        <v>122</v>
      </c>
      <c r="B8" s="10" t="n">
        <f aca="false">SUM(B4:B7)</f>
        <v>24</v>
      </c>
      <c r="C8" s="11" t="n">
        <f aca="false">AVERAGE(Matriz!G5:G28)</f>
        <v>16.25</v>
      </c>
      <c r="D8" s="10" t="n">
        <f aca="false">SUM(D4:D7)</f>
        <v>17</v>
      </c>
      <c r="E8" s="10" t="n">
        <f aca="false">SUM(E4:E7)</f>
        <v>6</v>
      </c>
      <c r="F8" s="10" t="n">
        <f aca="false">SUM(F4:F7)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0" t="s">
        <v>123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2" t="s">
        <v>124</v>
      </c>
      <c r="B3" s="10" t="n">
        <v>1</v>
      </c>
      <c r="C3" s="10" t="n">
        <v>2</v>
      </c>
      <c r="D3" s="10" t="n">
        <v>3</v>
      </c>
      <c r="E3" s="10" t="n">
        <v>4</v>
      </c>
      <c r="F3" s="10" t="n">
        <v>5</v>
      </c>
    </row>
    <row r="4" customFormat="false" ht="15" hidden="false" customHeight="false" outlineLevel="0" collapsed="false">
      <c r="A4" s="10" t="n">
        <v>5</v>
      </c>
      <c r="B4" s="12" t="n">
        <f aca="false">COUNTIFS(Matriz!$E$5:$E$28,5,Matriz!$F$5:$F$28,1)</f>
        <v>0</v>
      </c>
      <c r="C4" s="13" t="n">
        <f aca="false">COUNTIFS(Matriz!$E$5:$E$28,5,Matriz!$F$5:$F$28,2)</f>
        <v>1</v>
      </c>
      <c r="D4" s="14" t="n">
        <f aca="false">COUNTIFS(Matriz!$E$5:$E$28,5,Matriz!$F$5:$F$28,3)</f>
        <v>3</v>
      </c>
      <c r="E4" s="14" t="n">
        <f aca="false">COUNTIFS(Matriz!$E$5:$E$28,5,Matriz!$F$5:$F$28,4)</f>
        <v>3</v>
      </c>
      <c r="F4" s="14" t="n">
        <f aca="false">COUNTIFS(Matriz!$E$5:$E$28,5,Matriz!$F$5:$F$28,5)</f>
        <v>4</v>
      </c>
    </row>
    <row r="5" customFormat="false" ht="15" hidden="false" customHeight="false" outlineLevel="0" collapsed="false">
      <c r="A5" s="10" t="n">
        <v>4</v>
      </c>
      <c r="B5" s="12" t="n">
        <f aca="false">COUNTIFS(Matriz!$E$5:$E$28,4,Matriz!$F$5:$F$28,1)</f>
        <v>0</v>
      </c>
      <c r="C5" s="13" t="n">
        <f aca="false">COUNTIFS(Matriz!$E$5:$E$28,4,Matriz!$F$5:$F$28,2)</f>
        <v>1</v>
      </c>
      <c r="D5" s="13" t="n">
        <f aca="false">COUNTIFS(Matriz!$E$5:$E$28,4,Matriz!$F$5:$F$28,3)</f>
        <v>2</v>
      </c>
      <c r="E5" s="14" t="n">
        <f aca="false">COUNTIFS(Matriz!$E$5:$E$28,4,Matriz!$F$5:$F$28,4)</f>
        <v>6</v>
      </c>
      <c r="F5" s="14" t="n">
        <f aca="false">COUNTIFS(Matriz!$E$5:$E$28,4,Matriz!$F$5:$F$28,5)</f>
        <v>1</v>
      </c>
    </row>
    <row r="6" customFormat="false" ht="15" hidden="false" customHeight="false" outlineLevel="0" collapsed="false">
      <c r="A6" s="10" t="n">
        <v>3</v>
      </c>
      <c r="B6" s="12" t="n">
        <f aca="false">COUNTIFS(Matriz!$E$5:$E$28,3,Matriz!$F$5:$F$28,1)</f>
        <v>0</v>
      </c>
      <c r="C6" s="12" t="n">
        <f aca="false">COUNTIFS(Matriz!$E$5:$E$28,3,Matriz!$F$5:$F$28,2)</f>
        <v>0</v>
      </c>
      <c r="D6" s="13" t="n">
        <f aca="false">COUNTIFS(Matriz!$E$5:$E$28,3,Matriz!$F$5:$F$28,3)</f>
        <v>1</v>
      </c>
      <c r="E6" s="13" t="n">
        <f aca="false">COUNTIFS(Matriz!$E$5:$E$28,3,Matriz!$F$5:$F$28,4)</f>
        <v>1</v>
      </c>
      <c r="F6" s="14" t="n">
        <f aca="false">COUNTIFS(Matriz!$E$5:$E$28,3,Matriz!$F$5:$F$28,5)</f>
        <v>0</v>
      </c>
    </row>
    <row r="7" customFormat="false" ht="15" hidden="false" customHeight="false" outlineLevel="0" collapsed="false">
      <c r="A7" s="10" t="n">
        <v>2</v>
      </c>
      <c r="B7" s="12" t="n">
        <f aca="false">COUNTIFS(Matriz!$E$5:$E$28,2,Matriz!$F$5:$F$28,1)</f>
        <v>0</v>
      </c>
      <c r="C7" s="12" t="n">
        <f aca="false">COUNTIFS(Matriz!$E$5:$E$28,2,Matriz!$F$5:$F$28,2)</f>
        <v>0</v>
      </c>
      <c r="D7" s="12" t="n">
        <f aca="false">COUNTIFS(Matriz!$E$5:$E$28,2,Matriz!$F$5:$F$28,3)</f>
        <v>1</v>
      </c>
      <c r="E7" s="13" t="n">
        <f aca="false">COUNTIFS(Matriz!$E$5:$E$28,2,Matriz!$F$5:$F$28,4)</f>
        <v>0</v>
      </c>
      <c r="F7" s="13" t="n">
        <f aca="false">COUNTIFS(Matriz!$E$5:$E$28,2,Matriz!$F$5:$F$28,5)</f>
        <v>0</v>
      </c>
    </row>
    <row r="8" customFormat="false" ht="15" hidden="false" customHeight="false" outlineLevel="0" collapsed="false">
      <c r="A8" s="10" t="n">
        <v>1</v>
      </c>
      <c r="B8" s="12" t="n">
        <f aca="false">COUNTIFS(Matriz!$E$5:$E$28,1,Matriz!$F$5:$F$28,1)</f>
        <v>0</v>
      </c>
      <c r="C8" s="12" t="n">
        <f aca="false">COUNTIFS(Matriz!$E$5:$E$28,1,Matriz!$F$5:$F$28,2)</f>
        <v>0</v>
      </c>
      <c r="D8" s="12" t="n">
        <f aca="false">COUNTIFS(Matriz!$E$5:$E$28,1,Matriz!$F$5:$F$28,3)</f>
        <v>0</v>
      </c>
      <c r="E8" s="12" t="n">
        <f aca="false">COUNTIFS(Matriz!$E$5:$E$28,1,Matriz!$F$5:$F$28,4)</f>
        <v>0</v>
      </c>
      <c r="F8" s="12" t="n">
        <f aca="false">COUNTIFS(Matriz!$E$5:$E$28,1,Matriz!$F$5:$F$28,5)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2026-09-27T18:57:59Z</dcterms:created>
  <dc:creator>openpyxl</dc:creator>
  <dc:description/>
  <dc:language>en-US</dc:language>
  <cp:lastModifiedBy/>
  <dcterms:modified xsi:type="dcterms:W3CDTF">2026-09-27T18:57:59Z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