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al" sheetId="1" state="visible" r:id="rId3"/>
    <sheet name="Semanas" sheetId="2" state="visible" r:id="rId4"/>
    <sheet name="Resum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<sst xmlns="http://schemas.openxmlformats.org/spreadsheetml/2006/main" count="69" uniqueCount="38">
  <si>
    <t xml:space="preserve">Historial importado de historial.txt (separador |) - solo commits del autor original (remoto original/master)</t>
  </si>
  <si>
    <t xml:space="preserve">Fecha</t>
  </si>
  <si>
    <t xml:space="preserve">Autor</t>
  </si>
  <si>
    <t xml:space="preserve">Mensaje</t>
  </si>
  <si>
    <t xml:space="preserve">Semana (lunes)</t>
  </si>
  <si>
    <t xml:space="preserve">Persona real</t>
  </si>
  <si>
    <t xml:space="preserve">Carlos Alberto Barrera Lugo</t>
  </si>
  <si>
    <t xml:space="preserve">Initial commit</t>
  </si>
  <si>
    <t xml:space="preserve">Carlos Alberto Barrera Lugo (cbarreral)</t>
  </si>
  <si>
    <t xml:space="preserve">Implantación de notificaciones mediante correo</t>
  </si>
  <si>
    <t xml:space="preserve">cbarreral</t>
  </si>
  <si>
    <t xml:space="preserve">integración de la clase phpmailer</t>
  </si>
  <si>
    <t xml:space="preserve">rediseño moderno e incorporación del modulo de observaciones (Chat)</t>
  </si>
  <si>
    <t xml:space="preserve">Modulo de Observaciones en carpetas</t>
  </si>
  <si>
    <t xml:space="preserve">correccion de bugs en el modulo constancia</t>
  </si>
  <si>
    <t xml:space="preserve">modulo info residencia</t>
  </si>
  <si>
    <t xml:space="preserve">modulos de inicio</t>
  </si>
  <si>
    <t xml:space="preserve">restructura por segunda vez</t>
  </si>
  <si>
    <t xml:space="preserve">2</t>
  </si>
  <si>
    <t xml:space="preserve">Nota: 'cbarreral' y 'Carlos Alberto Barrera Lugo' son la misma persona con dos configuraciones de git (usuario vs nombre completo).</t>
  </si>
  <si>
    <t xml:space="preserve">Commits</t>
  </si>
  <si>
    <t xml:space="preserve">Fórmula</t>
  </si>
  <si>
    <t xml:space="preserve">COUNTIF de la columna Semana del historial</t>
  </si>
  <si>
    <t xml:space="preserve">TOTAL</t>
  </si>
  <si>
    <t xml:space="preserve">Semanas con commits</t>
  </si>
  <si>
    <t xml:space="preserve">Semanas sin commits</t>
  </si>
  <si>
    <t xml:space="preserve">Primer commit</t>
  </si>
  <si>
    <t xml:space="preserve">Último commit</t>
  </si>
  <si>
    <t xml:space="preserve">Duración real (días)</t>
  </si>
  <si>
    <t xml:space="preserve">Duración real (meses)</t>
  </si>
  <si>
    <t xml:space="preserve">Total de commits</t>
  </si>
  <si>
    <t xml:space="preserve">Personas reales</t>
  </si>
  <si>
    <t xml:space="preserve">Esfuerzo real visible (personas-mes)</t>
  </si>
  <si>
    <t xml:space="preserve">Tiempo estimado COCOMO (meses) - P5</t>
  </si>
  <si>
    <t xml:space="preserve">Esfuerzo estimado COCOMO (PM) - P5</t>
  </si>
  <si>
    <t xml:space="preserve">Personal estimado COCOMO - P5</t>
  </si>
  <si>
    <t xml:space="preserve">Diferencia de tiempo (meses)</t>
  </si>
  <si>
    <t xml:space="preserve">Relación esfuerzo estimado / real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</si>
</sst>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dd\-mmm\-yy"/>
    <numFmt numFmtId="167" formatCode="0.0"/>
    <numFmt numFmtId="168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Commits por semana (mar - jun 2021)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Semanas!B1</c:f>
              <c:strCache>
                <c:ptCount val="1"/>
                <c:pt idx="0">
                  <c:v>Commits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Semanas!$A$2:$A$15</c:f>
              <c:strCache>
                <c:ptCount val="14"/>
                <c:pt idx="0">
                  <c:v>22-Mar-21</c:v>
                </c:pt>
                <c:pt idx="1">
                  <c:v>29-Mar-21</c:v>
                </c:pt>
                <c:pt idx="2">
                  <c:v>05-Apr-21</c:v>
                </c:pt>
                <c:pt idx="3">
                  <c:v>12-Apr-21</c:v>
                </c:pt>
                <c:pt idx="4">
                  <c:v>19-Apr-21</c:v>
                </c:pt>
                <c:pt idx="5">
                  <c:v>26-Apr-21</c:v>
                </c:pt>
                <c:pt idx="6">
                  <c:v>03-May-21</c:v>
                </c:pt>
                <c:pt idx="7">
                  <c:v>10-May-21</c:v>
                </c:pt>
                <c:pt idx="8">
                  <c:v>17-May-21</c:v>
                </c:pt>
                <c:pt idx="9">
                  <c:v>24-May-21</c:v>
                </c:pt>
                <c:pt idx="10">
                  <c:v>31-May-21</c:v>
                </c:pt>
                <c:pt idx="11">
                  <c:v>07-Jun-21</c:v>
                </c:pt>
                <c:pt idx="12">
                  <c:v>14-Jun-21</c:v>
                </c:pt>
                <c:pt idx="13">
                  <c:v>21-Jun-21</c:v>
                </c:pt>
              </c:strCache>
            </c:strRef>
          </c:cat>
          <c:val>
            <c:numRef>
              <c:f>Semanas!$B$2:$B$15</c:f>
              <c:numCache>
                <c:formatCode>General</c:formatCode>
                <c:ptCount val="14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</c:ser>
        <c:gapWidth val="150"/>
        <c:overlap val="0"/>
        <c:axId val="20042154"/>
        <c:axId val="36815322"/>
      </c:barChart>
      <c:catAx>
        <c:axId val="200421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Semana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15322"/>
        <c:crosses val="autoZero"/>
        <c:auto val="1"/>
        <c:lblAlgn val="ctr"/>
        <c:lblOffset val="100"/>
        <c:noMultiLvlLbl val="0"/>
      </c:catAx>
      <c:valAx>
        <c:axId val="36815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Commits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421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16</xdr:col>
      <xdr:colOff>581760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5452200" y="19044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15"/>
    <col collapsed="false" customWidth="true" hidden="false" outlineLevel="0" max="5" min="5" style="0" width="38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n">
        <v>44282</v>
      </c>
      <c r="B3" s="1" t="s">
        <v>6</v>
      </c>
      <c r="C3" s="1" t="s">
        <v>7</v>
      </c>
      <c r="D3" s="3" t="n">
        <f aca="false">A3-WEEKDAY(A3,3)</f>
        <v>44277</v>
      </c>
      <c r="E3" s="1" t="s">
        <v>8</v>
      </c>
    </row>
    <row r="4" customFormat="false" ht="15" hidden="false" customHeight="false" outlineLevel="0" collapsed="false">
      <c r="A4" s="3" t="n">
        <v>44282</v>
      </c>
      <c r="B4" s="1" t="s">
        <v>6</v>
      </c>
      <c r="C4" s="1" t="s">
        <v>9</v>
      </c>
      <c r="D4" s="3" t="n">
        <f aca="false">A4-WEEKDAY(A4,3)</f>
        <v>44277</v>
      </c>
      <c r="E4" s="1" t="s">
        <v>8</v>
      </c>
    </row>
    <row r="5" customFormat="false" ht="15" hidden="false" customHeight="false" outlineLevel="0" collapsed="false">
      <c r="A5" s="3" t="n">
        <v>44284</v>
      </c>
      <c r="B5" s="1" t="s">
        <v>10</v>
      </c>
      <c r="C5" s="1" t="s">
        <v>11</v>
      </c>
      <c r="D5" s="3" t="n">
        <f aca="false">A5-WEEKDAY(A5,3)</f>
        <v>44284</v>
      </c>
      <c r="E5" s="1" t="s">
        <v>8</v>
      </c>
    </row>
    <row r="6" customFormat="false" ht="15" hidden="false" customHeight="false" outlineLevel="0" collapsed="false">
      <c r="A6" s="3" t="n">
        <v>44294</v>
      </c>
      <c r="B6" s="1" t="s">
        <v>10</v>
      </c>
      <c r="C6" s="1" t="s">
        <v>12</v>
      </c>
      <c r="D6" s="3" t="n">
        <f aca="false">A6-WEEKDAY(A6,3)</f>
        <v>44291</v>
      </c>
      <c r="E6" s="1" t="s">
        <v>8</v>
      </c>
    </row>
    <row r="7" customFormat="false" ht="15" hidden="false" customHeight="false" outlineLevel="0" collapsed="false">
      <c r="A7" s="3" t="n">
        <v>44294</v>
      </c>
      <c r="B7" s="1" t="s">
        <v>10</v>
      </c>
      <c r="C7" s="1" t="s">
        <v>13</v>
      </c>
      <c r="D7" s="3" t="n">
        <f aca="false">A7-WEEKDAY(A7,3)</f>
        <v>44291</v>
      </c>
      <c r="E7" s="1" t="s">
        <v>8</v>
      </c>
    </row>
    <row r="8" customFormat="false" ht="15" hidden="false" customHeight="false" outlineLevel="0" collapsed="false">
      <c r="A8" s="3" t="n">
        <v>44295</v>
      </c>
      <c r="B8" s="1" t="s">
        <v>10</v>
      </c>
      <c r="C8" s="1" t="s">
        <v>14</v>
      </c>
      <c r="D8" s="3" t="n">
        <f aca="false">A8-WEEKDAY(A8,3)</f>
        <v>44291</v>
      </c>
      <c r="E8" s="1" t="s">
        <v>8</v>
      </c>
    </row>
    <row r="9" customFormat="false" ht="15" hidden="false" customHeight="false" outlineLevel="0" collapsed="false">
      <c r="A9" s="3" t="n">
        <v>44356</v>
      </c>
      <c r="B9" s="1" t="s">
        <v>10</v>
      </c>
      <c r="C9" s="1" t="s">
        <v>15</v>
      </c>
      <c r="D9" s="3" t="n">
        <f aca="false">A9-WEEKDAY(A9,3)</f>
        <v>44354</v>
      </c>
      <c r="E9" s="1" t="s">
        <v>8</v>
      </c>
    </row>
    <row r="10" customFormat="false" ht="15" hidden="false" customHeight="false" outlineLevel="0" collapsed="false">
      <c r="A10" s="3" t="n">
        <v>44358</v>
      </c>
      <c r="B10" s="1" t="s">
        <v>10</v>
      </c>
      <c r="C10" s="1" t="s">
        <v>16</v>
      </c>
      <c r="D10" s="3" t="n">
        <f aca="false">A10-WEEKDAY(A10,3)</f>
        <v>44354</v>
      </c>
      <c r="E10" s="1" t="s">
        <v>8</v>
      </c>
    </row>
    <row r="11" customFormat="false" ht="15" hidden="false" customHeight="false" outlineLevel="0" collapsed="false">
      <c r="A11" s="3" t="n">
        <v>44366</v>
      </c>
      <c r="B11" s="1" t="s">
        <v>10</v>
      </c>
      <c r="C11" s="1" t="s">
        <v>17</v>
      </c>
      <c r="D11" s="3" t="n">
        <f aca="false">A11-WEEKDAY(A11,3)</f>
        <v>44361</v>
      </c>
      <c r="E11" s="1" t="s">
        <v>8</v>
      </c>
    </row>
    <row r="12" customFormat="false" ht="15" hidden="false" customHeight="false" outlineLevel="0" collapsed="false">
      <c r="A12" s="3" t="n">
        <v>44368</v>
      </c>
      <c r="B12" s="1" t="s">
        <v>10</v>
      </c>
      <c r="C12" s="1" t="s">
        <v>18</v>
      </c>
      <c r="D12" s="3" t="n">
        <f aca="false">A12-WEEKDAY(A12,3)</f>
        <v>44368</v>
      </c>
      <c r="E12" s="1" t="s">
        <v>8</v>
      </c>
    </row>
    <row r="13" customFormat="false" ht="15" hidden="false" customHeight="false" outlineLevel="0" collapsed="false">
      <c r="A13" s="1"/>
      <c r="B13" s="1"/>
      <c r="C13" s="1"/>
      <c r="D13" s="1"/>
      <c r="E13" s="1"/>
    </row>
    <row r="14" customFormat="false" ht="15" hidden="false" customHeight="false" outlineLevel="0" collapsed="false">
      <c r="A14" s="1" t="s">
        <v>19</v>
      </c>
      <c r="B14" s="1"/>
      <c r="C14" s="1"/>
      <c r="D14" s="1"/>
      <c r="E14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2" t="s">
        <v>4</v>
      </c>
      <c r="B1" s="2" t="s">
        <v>20</v>
      </c>
      <c r="C1" s="2" t="s">
        <v>21</v>
      </c>
    </row>
    <row r="2" customFormat="false" ht="15" hidden="false" customHeight="false" outlineLevel="0" collapsed="false">
      <c r="A2" s="4" t="n">
        <v>44277</v>
      </c>
      <c r="B2" s="1" t="n">
        <f aca="false">COUNTIF(Historial!$D$3:$D$12,A2)</f>
        <v>2</v>
      </c>
      <c r="C2" s="1" t="s">
        <v>22</v>
      </c>
    </row>
    <row r="3" customFormat="false" ht="15" hidden="false" customHeight="false" outlineLevel="0" collapsed="false">
      <c r="A3" s="4" t="n">
        <f aca="false">A2+7</f>
        <v>44284</v>
      </c>
      <c r="B3" s="1" t="n">
        <f aca="false">COUNTIF(Historial!$D$3:$D$12,A3)</f>
        <v>1</v>
      </c>
      <c r="C3" s="1" t="s">
        <v>22</v>
      </c>
    </row>
    <row r="4" customFormat="false" ht="15" hidden="false" customHeight="false" outlineLevel="0" collapsed="false">
      <c r="A4" s="4" t="n">
        <f aca="false">A3+7</f>
        <v>44291</v>
      </c>
      <c r="B4" s="1" t="n">
        <f aca="false">COUNTIF(Historial!$D$3:$D$12,A4)</f>
        <v>3</v>
      </c>
      <c r="C4" s="1" t="s">
        <v>22</v>
      </c>
    </row>
    <row r="5" customFormat="false" ht="15" hidden="false" customHeight="false" outlineLevel="0" collapsed="false">
      <c r="A5" s="4" t="n">
        <f aca="false">A4+7</f>
        <v>44298</v>
      </c>
      <c r="B5" s="1" t="n">
        <f aca="false">COUNTIF(Historial!$D$3:$D$12,A5)</f>
        <v>0</v>
      </c>
      <c r="C5" s="1" t="s">
        <v>22</v>
      </c>
    </row>
    <row r="6" customFormat="false" ht="15" hidden="false" customHeight="false" outlineLevel="0" collapsed="false">
      <c r="A6" s="4" t="n">
        <f aca="false">A5+7</f>
        <v>44305</v>
      </c>
      <c r="B6" s="1" t="n">
        <f aca="false">COUNTIF(Historial!$D$3:$D$12,A6)</f>
        <v>0</v>
      </c>
      <c r="C6" s="1" t="s">
        <v>22</v>
      </c>
    </row>
    <row r="7" customFormat="false" ht="15" hidden="false" customHeight="false" outlineLevel="0" collapsed="false">
      <c r="A7" s="4" t="n">
        <f aca="false">A6+7</f>
        <v>44312</v>
      </c>
      <c r="B7" s="1" t="n">
        <f aca="false">COUNTIF(Historial!$D$3:$D$12,A7)</f>
        <v>0</v>
      </c>
      <c r="C7" s="1" t="s">
        <v>22</v>
      </c>
    </row>
    <row r="8" customFormat="false" ht="15" hidden="false" customHeight="false" outlineLevel="0" collapsed="false">
      <c r="A8" s="4" t="n">
        <f aca="false">A7+7</f>
        <v>44319</v>
      </c>
      <c r="B8" s="1" t="n">
        <f aca="false">COUNTIF(Historial!$D$3:$D$12,A8)</f>
        <v>0</v>
      </c>
      <c r="C8" s="1" t="s">
        <v>22</v>
      </c>
    </row>
    <row r="9" customFormat="false" ht="15" hidden="false" customHeight="false" outlineLevel="0" collapsed="false">
      <c r="A9" s="4" t="n">
        <f aca="false">A8+7</f>
        <v>44326</v>
      </c>
      <c r="B9" s="1" t="n">
        <f aca="false">COUNTIF(Historial!$D$3:$D$12,A9)</f>
        <v>0</v>
      </c>
      <c r="C9" s="1" t="s">
        <v>22</v>
      </c>
    </row>
    <row r="10" customFormat="false" ht="15" hidden="false" customHeight="false" outlineLevel="0" collapsed="false">
      <c r="A10" s="4" t="n">
        <f aca="false">A9+7</f>
        <v>44333</v>
      </c>
      <c r="B10" s="1" t="n">
        <f aca="false">COUNTIF(Historial!$D$3:$D$12,A10)</f>
        <v>0</v>
      </c>
      <c r="C10" s="1" t="s">
        <v>22</v>
      </c>
    </row>
    <row r="11" customFormat="false" ht="15" hidden="false" customHeight="false" outlineLevel="0" collapsed="false">
      <c r="A11" s="4" t="n">
        <f aca="false">A10+7</f>
        <v>44340</v>
      </c>
      <c r="B11" s="1" t="n">
        <f aca="false">COUNTIF(Historial!$D$3:$D$12,A11)</f>
        <v>0</v>
      </c>
      <c r="C11" s="1" t="s">
        <v>22</v>
      </c>
    </row>
    <row r="12" customFormat="false" ht="15" hidden="false" customHeight="false" outlineLevel="0" collapsed="false">
      <c r="A12" s="4" t="n">
        <f aca="false">A11+7</f>
        <v>44347</v>
      </c>
      <c r="B12" s="1" t="n">
        <f aca="false">COUNTIF(Historial!$D$3:$D$12,A12)</f>
        <v>0</v>
      </c>
      <c r="C12" s="1" t="s">
        <v>22</v>
      </c>
    </row>
    <row r="13" customFormat="false" ht="15" hidden="false" customHeight="false" outlineLevel="0" collapsed="false">
      <c r="A13" s="4" t="n">
        <f aca="false">A12+7</f>
        <v>44354</v>
      </c>
      <c r="B13" s="1" t="n">
        <f aca="false">COUNTIF(Historial!$D$3:$D$12,A13)</f>
        <v>2</v>
      </c>
      <c r="C13" s="1" t="s">
        <v>22</v>
      </c>
    </row>
    <row r="14" customFormat="false" ht="15" hidden="false" customHeight="false" outlineLevel="0" collapsed="false">
      <c r="A14" s="4" t="n">
        <f aca="false">A13+7</f>
        <v>44361</v>
      </c>
      <c r="B14" s="1" t="n">
        <f aca="false">COUNTIF(Historial!$D$3:$D$12,A14)</f>
        <v>1</v>
      </c>
      <c r="C14" s="1" t="s">
        <v>22</v>
      </c>
    </row>
    <row r="15" customFormat="false" ht="15" hidden="false" customHeight="false" outlineLevel="0" collapsed="false">
      <c r="A15" s="4" t="n">
        <f aca="false">A14+7</f>
        <v>44368</v>
      </c>
      <c r="B15" s="1" t="n">
        <f aca="false">COUNTIF(Historial!$D$3:$D$12,A15)</f>
        <v>1</v>
      </c>
      <c r="C15" s="1" t="s">
        <v>22</v>
      </c>
    </row>
    <row r="16" customFormat="false" ht="15" hidden="false" customHeight="false" outlineLevel="0" collapsed="false">
      <c r="A16" s="5" t="s">
        <v>23</v>
      </c>
      <c r="B16" s="5" t="n">
        <f aca="false">SUM(B2:B15)</f>
        <v>10</v>
      </c>
      <c r="C16" s="1"/>
    </row>
    <row r="17" customFormat="false" ht="15" hidden="false" customHeight="false" outlineLevel="0" collapsed="false">
      <c r="A17" s="1"/>
      <c r="B17" s="1"/>
      <c r="C17" s="1"/>
    </row>
    <row r="18" customFormat="false" ht="15" hidden="false" customHeight="false" outlineLevel="0" collapsed="false">
      <c r="A18" s="1" t="s">
        <v>24</v>
      </c>
      <c r="B18" s="1" t="n">
        <f aca="false">COUNTIF(B2:B15,"&gt;0")</f>
        <v>6</v>
      </c>
      <c r="C18" s="1"/>
    </row>
    <row r="19" customFormat="false" ht="15" hidden="false" customHeight="false" outlineLevel="0" collapsed="false">
      <c r="A19" s="1" t="s">
        <v>25</v>
      </c>
      <c r="B19" s="1" t="n">
        <f aca="false">COUNTIF(B2:B15,0)</f>
        <v>8</v>
      </c>
      <c r="C1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26</v>
      </c>
      <c r="B1" s="3" t="n">
        <f aca="false">MIN(Historial!A3:A12)</f>
        <v>44282</v>
      </c>
    </row>
    <row r="2" customFormat="false" ht="15" hidden="false" customHeight="false" outlineLevel="0" collapsed="false">
      <c r="A2" s="1" t="s">
        <v>27</v>
      </c>
      <c r="B2" s="3" t="n">
        <f aca="false">MAX(Historial!A3:A12)</f>
        <v>44368</v>
      </c>
    </row>
    <row r="3" customFormat="false" ht="15" hidden="false" customHeight="false" outlineLevel="0" collapsed="false">
      <c r="A3" s="1" t="s">
        <v>28</v>
      </c>
      <c r="B3" s="1" t="n">
        <f aca="false">B2-B1</f>
        <v>86</v>
      </c>
    </row>
    <row r="4" customFormat="false" ht="15" hidden="false" customHeight="false" outlineLevel="0" collapsed="false">
      <c r="A4" s="1" t="s">
        <v>29</v>
      </c>
      <c r="B4" s="6" t="n">
        <f aca="false">B3/30.4</f>
        <v>2.82894736842105</v>
      </c>
    </row>
    <row r="5" customFormat="false" ht="15" hidden="false" customHeight="false" outlineLevel="0" collapsed="false">
      <c r="A5" s="1" t="s">
        <v>30</v>
      </c>
      <c r="B5" s="1" t="n">
        <f aca="false">COUNTA(Historial!C3:C12)</f>
        <v>10</v>
      </c>
    </row>
    <row r="6" customFormat="false" ht="15" hidden="false" customHeight="false" outlineLevel="0" collapsed="false">
      <c r="A6" s="1" t="s">
        <v>31</v>
      </c>
      <c r="B6" s="1" t="n">
        <v>1</v>
      </c>
    </row>
    <row r="7" customFormat="false" ht="15" hidden="false" customHeight="false" outlineLevel="0" collapsed="false">
      <c r="A7" s="1" t="s">
        <v>32</v>
      </c>
      <c r="B7" s="6" t="n">
        <f aca="false">B4*1</f>
        <v>2.82894736842105</v>
      </c>
    </row>
    <row r="8" customFormat="false" ht="15" hidden="false" customHeight="false" outlineLevel="0" collapsed="false">
      <c r="A8" s="1" t="s">
        <v>33</v>
      </c>
      <c r="B8" s="7" t="n">
        <v>8.25</v>
      </c>
    </row>
    <row r="9" customFormat="false" ht="15" hidden="false" customHeight="false" outlineLevel="0" collapsed="false">
      <c r="A9" s="1" t="s">
        <v>34</v>
      </c>
      <c r="B9" s="7" t="n">
        <v>23.15</v>
      </c>
    </row>
    <row r="10" customFormat="false" ht="15" hidden="false" customHeight="false" outlineLevel="0" collapsed="false">
      <c r="A10" s="1" t="s">
        <v>35</v>
      </c>
      <c r="B10" s="7" t="n">
        <v>2.8</v>
      </c>
    </row>
    <row r="11" customFormat="false" ht="15" hidden="false" customHeight="false" outlineLevel="0" collapsed="false">
      <c r="A11" s="1" t="s">
        <v>36</v>
      </c>
      <c r="B11" s="6" t="n">
        <f aca="false">B8-B4</f>
        <v>5.42105263157895</v>
      </c>
    </row>
    <row r="12" customFormat="false" ht="15" hidden="false" customHeight="false" outlineLevel="0" collapsed="false">
      <c r="A12" s="1" t="s">
        <v>37</v>
      </c>
      <c r="B12" s="8" t="n">
        <f aca="false">B9/B7</f>
        <v>8.18325581395349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2026-09-27T18:22:19Z</dcterms:created>
  <dc:creator>openpyxl</dc:creator>
  <dc:description/>
  <dc:language>en-US</dc:language>
  <cp:lastModifiedBy/>
  <dcterms:modified xsi:type="dcterms:W3CDTF">2026-09-27T18:22:21Z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